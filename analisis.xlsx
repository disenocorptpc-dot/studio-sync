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2"/>
  <workbookPr/>
  <xr:revisionPtr revIDLastSave="0" documentId="8_{12EE94F7-3A0C-4146-8914-0B28D0E7F6D9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Rufino Santa Rosa" sheetId="1" r:id="rId1"/>
    <sheet name="Homero Hernandez" sheetId="2" r:id="rId2"/>
    <sheet name="Esther Franco" sheetId="4" r:id="rId3"/>
    <sheet name="Mitchell Pous" sheetId="6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" i="6" l="1"/>
  <c r="K6" i="6"/>
  <c r="J6" i="6"/>
  <c r="I8" i="4"/>
  <c r="K6" i="4"/>
  <c r="J6" i="4"/>
  <c r="I8" i="2"/>
  <c r="K6" i="2"/>
  <c r="J6" i="2"/>
  <c r="I8" i="1"/>
  <c r="K6" i="1"/>
  <c r="J6" i="1" s="1"/>
</calcChain>
</file>

<file path=xl/sharedStrings.xml><?xml version="1.0" encoding="utf-8"?>
<sst xmlns="http://schemas.openxmlformats.org/spreadsheetml/2006/main" count="340" uniqueCount="182">
  <si>
    <t>No.CLEVER</t>
  </si>
  <si>
    <t>Nombre de La tarea</t>
  </si>
  <si>
    <t>Mes</t>
  </si>
  <si>
    <t>Cant.Horas</t>
  </si>
  <si>
    <t>Observaciones</t>
  </si>
  <si>
    <t>Fecha de inicio</t>
  </si>
  <si>
    <t>Fecha de cierre</t>
  </si>
  <si>
    <t>Status</t>
  </si>
  <si>
    <t>Anotaciones</t>
  </si>
  <si>
    <t>Diseño Industrial 3D - Cargos Especiales</t>
  </si>
  <si>
    <t>Septiembre</t>
  </si>
  <si>
    <t>Shipped</t>
  </si>
  <si>
    <t>Porcentaje meta</t>
  </si>
  <si>
    <t>Video Fabrica de Hoteles - Convencion</t>
  </si>
  <si>
    <t>Pocetanjes aceptables</t>
  </si>
  <si>
    <t>TC retiro de Room Service</t>
  </si>
  <si>
    <t>Letrero Playground</t>
  </si>
  <si>
    <t>Accepted Order</t>
  </si>
  <si>
    <t>Mapa 3D MPPC - Iconos 3D</t>
  </si>
  <si>
    <t>Score Actual</t>
  </si>
  <si>
    <t>Pantalla retiro de room service</t>
  </si>
  <si>
    <t>logo de waterpark MPPC</t>
  </si>
  <si>
    <t>ppta pantalla convencion</t>
  </si>
  <si>
    <t>ppta rotulacion combi MPJ</t>
  </si>
  <si>
    <t>Octubre</t>
  </si>
  <si>
    <t>Rotulación DJ Combi - stereojam</t>
  </si>
  <si>
    <t>Order in porduction</t>
  </si>
  <si>
    <t>Video Proyecto AQUA</t>
  </si>
  <si>
    <t>Noviembre</t>
  </si>
  <si>
    <t>Escaneo a color de loza Wonderwoods</t>
  </si>
  <si>
    <t>Cierre de Tarea - Mich</t>
  </si>
  <si>
    <t>Agra Sign for Moon Palace Jamaica</t>
  </si>
  <si>
    <t>Cierre de Tarea - Kbremmer</t>
  </si>
  <si>
    <t>Logo de Acceso Leagues THG- segunda etapa</t>
  </si>
  <si>
    <t xml:space="preserve">Presentación  Enviada </t>
  </si>
  <si>
    <t>Antifafaz Welcome Kit</t>
  </si>
  <si>
    <t>Kit y Antifaz Entregado</t>
  </si>
  <si>
    <t>Alcancia Fundación Torneo de Golf 2025</t>
  </si>
  <si>
    <t>Impresión 3d</t>
  </si>
  <si>
    <t>Snack Bar MPJ</t>
  </si>
  <si>
    <t>Faltan Correciónes</t>
  </si>
  <si>
    <t>Señalizacion Playacar</t>
  </si>
  <si>
    <t>Esperando a Hadita</t>
  </si>
  <si>
    <t>Mesa Piano Bar</t>
  </si>
  <si>
    <t>No se tu dime (  o)(  o)</t>
  </si>
  <si>
    <t>Entregado</t>
  </si>
  <si>
    <t>Logo de acceso a Estacionamiento</t>
  </si>
  <si>
    <t>Logos de Acceso MPPC- Tercera Etapa</t>
  </si>
  <si>
    <t>Falta explosivos</t>
  </si>
  <si>
    <t>Arbol Apperol Spritz - Primera Etapa</t>
  </si>
  <si>
    <t>Falta Archivos de Prod</t>
  </si>
  <si>
    <t>Mesa Piano Bar Segunda Etapa</t>
  </si>
  <si>
    <t xml:space="preserve">Trabajo en taller </t>
  </si>
  <si>
    <t>Manuales de Producción MPPC</t>
  </si>
  <si>
    <t>Diciembre</t>
  </si>
  <si>
    <t>En entrega para revisión</t>
  </si>
  <si>
    <t>Estructura Rainbow</t>
  </si>
  <si>
    <t xml:space="preserve">En proceso </t>
  </si>
  <si>
    <t xml:space="preserve">	20641</t>
  </si>
  <si>
    <t>Cuadro para cesar</t>
  </si>
  <si>
    <t xml:space="preserve">	20637</t>
  </si>
  <si>
    <t>Porta tent card</t>
  </si>
  <si>
    <t>cerrar primera fase. crear nueva tarea con fase dos</t>
  </si>
  <si>
    <t>MODIFICACION EXPRESS CHECK IN</t>
  </si>
  <si>
    <t>Porta tent card fase 2</t>
  </si>
  <si>
    <t>segunda fase para antifaz plotter</t>
  </si>
  <si>
    <t>Antifaz caribeño</t>
  </si>
  <si>
    <t xml:space="preserve">	20642</t>
  </si>
  <si>
    <t>tent card para carvao levantamiento</t>
  </si>
  <si>
    <t xml:space="preserve">levantamiento </t>
  </si>
  <si>
    <t>miercoles 10 de sep</t>
  </si>
  <si>
    <t>tent card carvao</t>
  </si>
  <si>
    <t xml:space="preserve">Propuestas de diseño, moodlado, render, presentacion, </t>
  </si>
  <si>
    <t>miercoles 17 de sep</t>
  </si>
  <si>
    <t>rediseño porta tent crad con putter</t>
  </si>
  <si>
    <t xml:space="preserve">	20643</t>
  </si>
  <si>
    <t>rediseño de express check in</t>
  </si>
  <si>
    <t>reiseño de celosias, modelado, render, montaje, presentacion</t>
  </si>
  <si>
    <t>jueves 18 de sep</t>
  </si>
  <si>
    <t>vacaciones</t>
  </si>
  <si>
    <t>15 de septiembre</t>
  </si>
  <si>
    <t>OCTUBRE</t>
  </si>
  <si>
    <t>desarrollo de la porduccion, archivos de produccion, odp</t>
  </si>
  <si>
    <t>30 de sep</t>
  </si>
  <si>
    <t xml:space="preserve">	20662</t>
  </si>
  <si>
    <t>Antifaz para mermeladas</t>
  </si>
  <si>
    <t xml:space="preserve">1 de oct </t>
  </si>
  <si>
    <t>1 de oct</t>
  </si>
  <si>
    <t>montaje y presentacion de losgos wp mppc</t>
  </si>
  <si>
    <t xml:space="preserve">	20889</t>
  </si>
  <si>
    <t>manual de produccion lbca, lbcun y thg</t>
  </si>
  <si>
    <t>3 de octubre</t>
  </si>
  <si>
    <t>7 de octubre</t>
  </si>
  <si>
    <t xml:space="preserve">	20921</t>
  </si>
  <si>
    <t>Antifaces para lbcab chocolates</t>
  </si>
  <si>
    <t>reunion para antifaces mppc</t>
  </si>
  <si>
    <t xml:space="preserve">	20938</t>
  </si>
  <si>
    <t>AJUSTES DE DISEÑO DE LETERO PARA ALBERCA CERRADA</t>
  </si>
  <si>
    <t xml:space="preserve">13 DE OCT </t>
  </si>
  <si>
    <t>13 DE OCT</t>
  </si>
  <si>
    <t>ODP LBCUN Y TRAZOS</t>
  </si>
  <si>
    <t>trazos, acomodo de antifaces, odp</t>
  </si>
  <si>
    <t xml:space="preserve">14 DE OCT </t>
  </si>
  <si>
    <t>14 DE OCT</t>
  </si>
  <si>
    <t>REDISEÑO DE ANTIFACES PARA KAKAU DESPUES DEL LEVANTAMIENTO</t>
  </si>
  <si>
    <t>11 DE OCT</t>
  </si>
  <si>
    <t xml:space="preserve">	20936</t>
  </si>
  <si>
    <t>MANUAL PARA Express check in</t>
  </si>
  <si>
    <t>ODP ALBERCA CERRADA</t>
  </si>
  <si>
    <t>totem alberca cerrada</t>
  </si>
  <si>
    <t>modificaciones y odp manual deporduccion</t>
  </si>
  <si>
    <t>antifaz mermelada</t>
  </si>
  <si>
    <t xml:space="preserve">levantamiento, trazo, odp </t>
  </si>
  <si>
    <t>propuestas para letreros de buffet mppc</t>
  </si>
  <si>
    <t>NOVIEMBRE</t>
  </si>
  <si>
    <t xml:space="preserve">	20994</t>
  </si>
  <si>
    <t>Soporte de Espada para Tarjeta Tent</t>
  </si>
  <si>
    <t>DESARROLLO DE PROPUESTAS, ODP, INVESIGACION DE MATERIALES, MODIFICACION DE RENDERS</t>
  </si>
  <si>
    <t xml:space="preserve">29 de oct </t>
  </si>
  <si>
    <t>30 de oct</t>
  </si>
  <si>
    <t xml:space="preserve">	21244</t>
  </si>
  <si>
    <t>porta tent card para caribeño</t>
  </si>
  <si>
    <t>desarrollo de propuestas para porta tent card para caribeño</t>
  </si>
  <si>
    <t>nueva propuesta para caribeño</t>
  </si>
  <si>
    <t xml:space="preserve">ANTIFAZ LBCAB PARA KAKAU      </t>
  </si>
  <si>
    <t>aren</t>
  </si>
  <si>
    <t>ltrero crea tu propio taco</t>
  </si>
  <si>
    <t>vacaiones</t>
  </si>
  <si>
    <t>puente</t>
  </si>
  <si>
    <t>17 de nov</t>
  </si>
  <si>
    <t>DICIEMBRE</t>
  </si>
  <si>
    <t>Antifaz Nizuc</t>
  </si>
  <si>
    <t>levantamiento, trazo</t>
  </si>
  <si>
    <t>odp antifaces lbcb kakau y odp para prueba</t>
  </si>
  <si>
    <t>odp prueba de antifaz</t>
  </si>
  <si>
    <t>diseño de propuestas para letrero colgante buffets mmpc</t>
  </si>
  <si>
    <t>odp lbcun kakau</t>
  </si>
  <si>
    <t>busqueda de materiales provedores y porcesos para los letreros de buffet de mmpc</t>
  </si>
  <si>
    <t xml:space="preserve">	21532</t>
  </si>
  <si>
    <t>propuestas de letrero para caribeño</t>
  </si>
  <si>
    <t>pruebas de porta tent card para gram buffet</t>
  </si>
  <si>
    <t>navidad</t>
  </si>
  <si>
    <t xml:space="preserve">ligas de archivos de pporduccion </t>
  </si>
  <si>
    <t>cuadro para odp produccion</t>
  </si>
  <si>
    <t>totem area de fumar</t>
  </si>
  <si>
    <t>Escaneo y limpieza de loza Wonderwoods</t>
  </si>
  <si>
    <t>Modelado personajes de comida waterpark</t>
  </si>
  <si>
    <t>Proceso 3d para propuestas de impresión de personajes de comida (hotdog y pizza)</t>
  </si>
  <si>
    <t>(2+6+3+5)</t>
  </si>
  <si>
    <t>Presentacion de esculturas decorativas</t>
  </si>
  <si>
    <t>Presentacion de esculturas decorativas (comida)</t>
  </si>
  <si>
    <t xml:space="preserve">Curso induccion </t>
  </si>
  <si>
    <t>Curso con taller de induccion</t>
  </si>
  <si>
    <t xml:space="preserve">Creación 3d de personajes de "The Dreamery" </t>
  </si>
  <si>
    <t>Creación 3d de personajes de "The Dreamery"  (nave,nube,robot,mono, tucan) (esculpido, modelado, texturas, iluminacion y render)</t>
  </si>
  <si>
    <t>Correccion de rostro reno</t>
  </si>
  <si>
    <t>Correccion de modelo y soportes del rostro del reno para navidad</t>
  </si>
  <si>
    <t>dir general</t>
  </si>
  <si>
    <t>rrugeri</t>
  </si>
  <si>
    <t>Soportes para impresion 3d</t>
  </si>
  <si>
    <t>Soportes para arbol (wonderwoods)</t>
  </si>
  <si>
    <t>crangel</t>
  </si>
  <si>
    <t>punta cana</t>
  </si>
  <si>
    <t xml:space="preserve">Fase 2: Creación 3d de personajes de "The Dreamery" </t>
  </si>
  <si>
    <t>jchapur</t>
  </si>
  <si>
    <t>Bocetos pantalla Wonderwoods</t>
  </si>
  <si>
    <t>Bocetos para pantalla de Wonderwoods</t>
  </si>
  <si>
    <t>Vacaciones Octubre</t>
  </si>
  <si>
    <t>Vacaciones</t>
  </si>
  <si>
    <t>Totem Wonderwoods</t>
  </si>
  <si>
    <t>Bocetos, layout 3d y presentación para propuestas de totem de wonderwoods</t>
  </si>
  <si>
    <t>Soportes y modelo para impresion 3d</t>
  </si>
  <si>
    <t>Correccion de modelo y soportes de pavo Thanksgiving</t>
  </si>
  <si>
    <t>boceto y layout de pantalla totem wonderwoods</t>
  </si>
  <si>
    <t>Propuestas de pascua 3d</t>
  </si>
  <si>
    <t>Bocetos y  layout para propuestas de Pascua</t>
  </si>
  <si>
    <t>Mapa 3D MPC</t>
  </si>
  <si>
    <t>Correccion de render para mapa MPC 3D</t>
  </si>
  <si>
    <t>Reinbo</t>
  </si>
  <si>
    <t>Imayina Reinbo slicer de prototipo en escala pequeña, corrección de textura y colores para pintar en modelo 3d, y creacion e impresion de paleta de colores</t>
  </si>
  <si>
    <t>Fase 2: Mapa 3D MPC</t>
  </si>
  <si>
    <t>Correccion de render para mapa MPC 3D y Modelado de campo de golf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</si>
</sst>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charset val="1"/>
    </font>
    <font>
      <sz val="11"/>
      <color rgb="FF101010"/>
      <name val="Aptos Narrow"/>
      <scheme val="minor"/>
    </font>
    <font>
      <sz val="11"/>
      <color theme="0"/>
      <name val="Aptos Narrow"/>
      <scheme val="minor"/>
    </font>
    <font>
      <sz val="11"/>
      <color theme="1"/>
      <name val="Aptos Narrow"/>
      <scheme val="minor"/>
    </font>
    <font>
      <sz val="12"/>
      <color rgb="FF101010"/>
      <name val="Aptos Narrow"/>
      <scheme val="minor"/>
    </font>
    <font>
      <sz val="9"/>
      <color rgb="FF101010"/>
      <name val="Montserrat"/>
      <charset val="1"/>
    </font>
    <font>
      <sz val="11"/>
      <color theme="0"/>
      <name val="Aptos Display"/>
      <scheme val="major"/>
    </font>
    <font>
      <b/>
      <sz val="11"/>
      <color theme="1"/>
      <name val="Aptos Display"/>
      <scheme val="major"/>
    </font>
    <font>
      <sz val="11"/>
      <color theme="1"/>
      <name val="Aptos Display"/>
      <scheme val="major"/>
    </font>
    <font>
      <sz val="12"/>
      <color theme="1"/>
      <name val="Aptos Narrow"/>
      <scheme val="minor"/>
    </font>
    <font>
      <sz val="12"/>
      <color rgb="FF000000"/>
      <name val="Aptos Narrow"/>
      <scheme val="minor"/>
    </font>
    <font>
      <sz val="12"/>
      <color theme="1"/>
      <name val="Aptos Narrow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CB6AC"/>
        <bgColor indexed="64"/>
      </patternFill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top"/>
    </xf>
    <xf numFmtId="0" fontId="1" fillId="2" borderId="1" xfId="0" applyFont="1" applyFill="1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top"/>
    </xf>
    <xf numFmtId="0" fontId="0" fillId="0" borderId="1" xfId="0" applyBorder="1"/>
    <xf numFmtId="0" fontId="1" fillId="2" borderId="2" xfId="0" applyFont="1" applyFill="1" applyBorder="1"/>
    <xf numFmtId="0" fontId="0" fillId="0" borderId="2" xfId="0" applyBorder="1"/>
    <xf numFmtId="9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 wrapText="1"/>
    </xf>
    <xf numFmtId="0" fontId="2" fillId="3" borderId="0" xfId="0" applyFont="1" applyFill="1"/>
    <xf numFmtId="9" fontId="2" fillId="3" borderId="0" xfId="0" applyNumberFormat="1" applyFont="1" applyFill="1" applyAlignment="1">
      <alignment horizontal="center"/>
    </xf>
    <xf numFmtId="0" fontId="2" fillId="3" borderId="0" xfId="0" applyFont="1" applyFill="1" applyAlignment="1">
      <alignment horizontal="center"/>
    </xf>
    <xf numFmtId="9" fontId="2" fillId="4" borderId="0" xfId="0" applyNumberFormat="1" applyFont="1" applyFill="1" applyAlignment="1">
      <alignment horizontal="center"/>
    </xf>
    <xf numFmtId="0" fontId="2" fillId="4" borderId="0" xfId="0" applyFont="1" applyFill="1" applyAlignment="1">
      <alignment horizontal="center"/>
    </xf>
    <xf numFmtId="16" fontId="0" fillId="0" borderId="2" xfId="0" applyNumberFormat="1" applyBorder="1"/>
    <xf numFmtId="14" fontId="0" fillId="0" borderId="1" xfId="0" applyNumberFormat="1" applyBorder="1"/>
    <xf numFmtId="0" fontId="0" fillId="6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/>
    </xf>
    <xf numFmtId="0" fontId="5" fillId="2" borderId="1" xfId="0" applyFont="1" applyFill="1" applyBorder="1" applyAlignment="1">
      <alignment horizontal="left"/>
    </xf>
    <xf numFmtId="0" fontId="6" fillId="0" borderId="1" xfId="0" applyFont="1" applyBorder="1" applyAlignment="1">
      <alignment horizontal="left"/>
    </xf>
    <xf numFmtId="0" fontId="4" fillId="0" borderId="0" xfId="0" applyFont="1"/>
    <xf numFmtId="0" fontId="0" fillId="6" borderId="1" xfId="0" applyFill="1" applyBorder="1" applyAlignment="1">
      <alignment horizontal="center" vertical="top"/>
    </xf>
    <xf numFmtId="0" fontId="0" fillId="6" borderId="1" xfId="0" applyFill="1" applyBorder="1"/>
    <xf numFmtId="0" fontId="0" fillId="6" borderId="2" xfId="0" applyFill="1" applyBorder="1"/>
    <xf numFmtId="0" fontId="3" fillId="6" borderId="0" xfId="0" applyFont="1" applyFill="1"/>
    <xf numFmtId="0" fontId="0" fillId="6" borderId="1" xfId="0" applyFill="1" applyBorder="1" applyAlignment="1">
      <alignment horizontal="center" vertical="top" wrapText="1"/>
    </xf>
    <xf numFmtId="0" fontId="0" fillId="6" borderId="2" xfId="0" applyFill="1" applyBorder="1" applyAlignment="1">
      <alignment wrapText="1"/>
    </xf>
    <xf numFmtId="0" fontId="0" fillId="9" borderId="1" xfId="0" applyFill="1" applyBorder="1" applyAlignment="1">
      <alignment horizontal="center" vertical="center"/>
    </xf>
    <xf numFmtId="0" fontId="6" fillId="9" borderId="1" xfId="0" applyFont="1" applyFill="1" applyBorder="1" applyAlignment="1">
      <alignment horizontal="left"/>
    </xf>
    <xf numFmtId="0" fontId="0" fillId="9" borderId="1" xfId="0" applyFill="1" applyBorder="1" applyAlignment="1">
      <alignment horizontal="center"/>
    </xf>
    <xf numFmtId="0" fontId="0" fillId="9" borderId="1" xfId="0" applyFill="1" applyBorder="1" applyAlignment="1">
      <alignment horizontal="center" vertical="top"/>
    </xf>
    <xf numFmtId="0" fontId="0" fillId="9" borderId="1" xfId="0" applyFill="1" applyBorder="1"/>
    <xf numFmtId="0" fontId="0" fillId="9" borderId="2" xfId="0" applyFill="1" applyBorder="1"/>
    <xf numFmtId="0" fontId="4" fillId="9" borderId="0" xfId="0" applyFont="1" applyFill="1"/>
    <xf numFmtId="0" fontId="4" fillId="9" borderId="0" xfId="0" applyFont="1" applyFill="1" applyAlignment="1">
      <alignment horizontal="left"/>
    </xf>
    <xf numFmtId="0" fontId="0" fillId="11" borderId="1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/>
    </xf>
    <xf numFmtId="0" fontId="0" fillId="11" borderId="1" xfId="0" applyFill="1" applyBorder="1" applyAlignment="1">
      <alignment horizontal="center" vertical="top"/>
    </xf>
    <xf numFmtId="0" fontId="0" fillId="11" borderId="1" xfId="0" applyFill="1" applyBorder="1"/>
    <xf numFmtId="0" fontId="0" fillId="11" borderId="2" xfId="0" applyFill="1" applyBorder="1"/>
    <xf numFmtId="0" fontId="0" fillId="12" borderId="1" xfId="0" applyFill="1" applyBorder="1" applyAlignment="1">
      <alignment horizontal="center" vertical="center"/>
    </xf>
    <xf numFmtId="0" fontId="0" fillId="12" borderId="1" xfId="0" applyFill="1" applyBorder="1" applyAlignment="1">
      <alignment horizontal="center"/>
    </xf>
    <xf numFmtId="0" fontId="0" fillId="12" borderId="1" xfId="0" applyFill="1" applyBorder="1" applyAlignment="1">
      <alignment horizontal="center" vertical="top"/>
    </xf>
    <xf numFmtId="0" fontId="0" fillId="12" borderId="1" xfId="0" applyFill="1" applyBorder="1"/>
    <xf numFmtId="0" fontId="0" fillId="12" borderId="2" xfId="0" applyFill="1" applyBorder="1"/>
    <xf numFmtId="0" fontId="0" fillId="12" borderId="1" xfId="0" applyFill="1" applyBorder="1" applyAlignment="1">
      <alignment horizontal="center" vertical="top" wrapText="1"/>
    </xf>
    <xf numFmtId="0" fontId="8" fillId="0" borderId="0" xfId="0" applyFont="1"/>
    <xf numFmtId="0" fontId="0" fillId="12" borderId="1" xfId="0" applyFill="1" applyBorder="1" applyAlignment="1">
      <alignment horizontal="center" wrapText="1"/>
    </xf>
    <xf numFmtId="0" fontId="9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 vertical="top"/>
    </xf>
    <xf numFmtId="0" fontId="9" fillId="2" borderId="1" xfId="0" applyFont="1" applyFill="1" applyBorder="1"/>
    <xf numFmtId="0" fontId="9" fillId="2" borderId="2" xfId="0" applyFont="1" applyFill="1" applyBorder="1"/>
    <xf numFmtId="0" fontId="10" fillId="0" borderId="0" xfId="0" applyFont="1" applyAlignment="1">
      <alignment horizontal="center"/>
    </xf>
    <xf numFmtId="0" fontId="11" fillId="0" borderId="0" xfId="0" applyFont="1"/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/>
    </xf>
    <xf numFmtId="0" fontId="11" fillId="8" borderId="1" xfId="0" applyFont="1" applyFill="1" applyBorder="1" applyAlignment="1">
      <alignment horizontal="center" vertical="top"/>
    </xf>
    <xf numFmtId="16" fontId="11" fillId="0" borderId="1" xfId="0" applyNumberFormat="1" applyFont="1" applyBorder="1"/>
    <xf numFmtId="16" fontId="11" fillId="0" borderId="2" xfId="0" applyNumberFormat="1" applyFont="1" applyBorder="1"/>
    <xf numFmtId="0" fontId="10" fillId="3" borderId="0" xfId="0" applyFont="1" applyFill="1"/>
    <xf numFmtId="9" fontId="10" fillId="3" borderId="0" xfId="0" applyNumberFormat="1" applyFont="1" applyFill="1" applyAlignment="1">
      <alignment horizontal="center"/>
    </xf>
    <xf numFmtId="0" fontId="10" fillId="3" borderId="0" xfId="0" applyFont="1" applyFill="1" applyAlignment="1">
      <alignment horizontal="center"/>
    </xf>
    <xf numFmtId="9" fontId="10" fillId="4" borderId="0" xfId="0" applyNumberFormat="1" applyFont="1" applyFill="1" applyAlignment="1">
      <alignment horizontal="center"/>
    </xf>
    <xf numFmtId="0" fontId="10" fillId="4" borderId="0" xfId="0" applyFont="1" applyFill="1" applyAlignment="1">
      <alignment horizontal="center"/>
    </xf>
    <xf numFmtId="0" fontId="10" fillId="0" borderId="0" xfId="0" applyFont="1"/>
    <xf numFmtId="0" fontId="11" fillId="8" borderId="1" xfId="0" applyFont="1" applyFill="1" applyBorder="1" applyAlignment="1">
      <alignment horizontal="center" vertical="top" wrapText="1"/>
    </xf>
    <xf numFmtId="9" fontId="10" fillId="0" borderId="0" xfId="0" applyNumberFormat="1" applyFont="1" applyAlignment="1">
      <alignment horizontal="center"/>
    </xf>
    <xf numFmtId="0" fontId="10" fillId="0" borderId="0" xfId="0" applyFont="1" applyAlignment="1">
      <alignment horizontal="center" wrapText="1"/>
    </xf>
    <xf numFmtId="14" fontId="11" fillId="0" borderId="2" xfId="0" applyNumberFormat="1" applyFont="1" applyBorder="1"/>
    <xf numFmtId="14" fontId="11" fillId="0" borderId="1" xfId="0" applyNumberFormat="1" applyFont="1" applyBorder="1"/>
    <xf numFmtId="0" fontId="0" fillId="14" borderId="1" xfId="0" applyFill="1" applyBorder="1" applyAlignment="1">
      <alignment horizontal="center" vertical="center"/>
    </xf>
    <xf numFmtId="0" fontId="0" fillId="14" borderId="1" xfId="0" applyFill="1" applyBorder="1" applyAlignment="1">
      <alignment horizontal="center"/>
    </xf>
    <xf numFmtId="0" fontId="0" fillId="14" borderId="1" xfId="0" applyFill="1" applyBorder="1" applyAlignment="1">
      <alignment horizontal="center" vertical="top" wrapText="1"/>
    </xf>
    <xf numFmtId="0" fontId="0" fillId="14" borderId="1" xfId="0" applyFill="1" applyBorder="1"/>
    <xf numFmtId="0" fontId="0" fillId="14" borderId="1" xfId="0" applyFill="1" applyBorder="1" applyAlignment="1">
      <alignment horizontal="center" vertical="top"/>
    </xf>
    <xf numFmtId="0" fontId="0" fillId="14" borderId="2" xfId="0" applyFill="1" applyBorder="1"/>
    <xf numFmtId="0" fontId="11" fillId="5" borderId="1" xfId="0" applyFont="1" applyFill="1" applyBorder="1" applyAlignment="1">
      <alignment horizontal="center" vertical="top"/>
    </xf>
    <xf numFmtId="0" fontId="11" fillId="5" borderId="1" xfId="0" applyFont="1" applyFill="1" applyBorder="1" applyAlignment="1">
      <alignment horizontal="center" vertical="center"/>
    </xf>
    <xf numFmtId="16" fontId="0" fillId="0" borderId="1" xfId="0" applyNumberFormat="1" applyBorder="1"/>
    <xf numFmtId="0" fontId="12" fillId="0" borderId="0" xfId="0" applyFont="1"/>
    <xf numFmtId="0" fontId="12" fillId="0" borderId="1" xfId="0" applyFont="1" applyBorder="1"/>
    <xf numFmtId="0" fontId="12" fillId="0" borderId="1" xfId="0" applyFont="1" applyBorder="1" applyAlignment="1">
      <alignment vertical="top"/>
    </xf>
    <xf numFmtId="14" fontId="12" fillId="0" borderId="1" xfId="0" applyNumberFormat="1" applyFont="1" applyBorder="1"/>
    <xf numFmtId="0" fontId="12" fillId="0" borderId="2" xfId="0" applyFont="1" applyBorder="1"/>
    <xf numFmtId="0" fontId="12" fillId="0" borderId="1" xfId="0" applyFont="1" applyBorder="1" applyAlignment="1">
      <alignment vertical="center"/>
    </xf>
    <xf numFmtId="0" fontId="7" fillId="7" borderId="0" xfId="0" applyFont="1" applyFill="1" applyAlignment="1">
      <alignment wrapText="1"/>
    </xf>
    <xf numFmtId="14" fontId="13" fillId="0" borderId="0" xfId="0" applyNumberFormat="1" applyFont="1"/>
    <xf numFmtId="0" fontId="12" fillId="0" borderId="6" xfId="0" applyFont="1" applyBorder="1" applyAlignment="1">
      <alignment vertical="center"/>
    </xf>
    <xf numFmtId="0" fontId="13" fillId="0" borderId="1" xfId="0" applyFont="1" applyBorder="1"/>
    <xf numFmtId="0" fontId="13" fillId="0" borderId="0" xfId="0" applyFont="1"/>
    <xf numFmtId="0" fontId="12" fillId="0" borderId="5" xfId="0" applyFont="1" applyBorder="1" applyAlignment="1">
      <alignment vertical="center"/>
    </xf>
    <xf numFmtId="0" fontId="7" fillId="0" borderId="0" xfId="0" applyFont="1"/>
    <xf numFmtId="0" fontId="12" fillId="0" borderId="1" xfId="0" applyFont="1" applyBorder="1" applyAlignment="1">
      <alignment horizontal="left"/>
    </xf>
    <xf numFmtId="0" fontId="14" fillId="0" borderId="1" xfId="0" applyFont="1" applyBorder="1" applyAlignment="1">
      <alignment horizontal="left"/>
    </xf>
    <xf numFmtId="0" fontId="0" fillId="0" borderId="1" xfId="0" applyBorder="1" applyAlignment="1">
      <alignment horizontal="right"/>
    </xf>
    <xf numFmtId="14" fontId="0" fillId="0" borderId="2" xfId="0" applyNumberFormat="1" applyBorder="1"/>
    <xf numFmtId="0" fontId="0" fillId="8" borderId="1" xfId="0" applyFill="1" applyBorder="1" applyAlignment="1">
      <alignment horizontal="center" vertical="top" wrapText="1"/>
    </xf>
    <xf numFmtId="0" fontId="2" fillId="0" borderId="3" xfId="0" applyFont="1" applyBorder="1" applyAlignment="1">
      <alignment horizontal="left" vertical="center"/>
    </xf>
    <xf numFmtId="0" fontId="2" fillId="0" borderId="3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10" borderId="2" xfId="0" applyFill="1" applyBorder="1" applyAlignment="1">
      <alignment horizontal="center" vertical="center"/>
    </xf>
    <xf numFmtId="0" fontId="0" fillId="10" borderId="7" xfId="0" applyFill="1" applyBorder="1" applyAlignment="1">
      <alignment horizontal="center" vertical="center"/>
    </xf>
    <xf numFmtId="0" fontId="0" fillId="10" borderId="4" xfId="0" applyFill="1" applyBorder="1" applyAlignment="1">
      <alignment horizontal="center" vertical="center"/>
    </xf>
    <xf numFmtId="0" fontId="0" fillId="13" borderId="2" xfId="0" applyFill="1" applyBorder="1" applyAlignment="1">
      <alignment horizontal="center" vertical="center"/>
    </xf>
    <xf numFmtId="0" fontId="0" fillId="13" borderId="7" xfId="0" applyFill="1" applyBorder="1" applyAlignment="1">
      <alignment horizontal="center" vertical="center"/>
    </xf>
    <xf numFmtId="0" fontId="0" fillId="13" borderId="4" xfId="0" applyFill="1" applyBorder="1" applyAlignment="1">
      <alignment horizontal="center" vertical="center"/>
    </xf>
    <xf numFmtId="0" fontId="10" fillId="0" borderId="3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3" xfId="0" applyFont="1" applyBorder="1" applyAlignment="1">
      <alignment horizontal="left" vertical="center"/>
    </xf>
  </cellXfs>
  <cellStyles count="1">
    <cellStyle name="Normal" xfId="0" builtinId="0"/>
  </cellStyles>
  <dxfs count="12">
    <dxf>
      <font>
        <color theme="0"/>
      </font>
      <fill>
        <patternFill patternType="solid">
          <bgColor theme="8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 patternType="solid">
          <bgColor theme="8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 patternType="solid">
          <bgColor theme="8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 patternType="solid">
          <bgColor theme="8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>
    <mruColors>
      <color rgb="FFFCB6AC"/>
      <color rgb="FFCCC9FF"/>
      <color rgb="FFF4FAAF"/>
      <color rgb="FFF5935B"/>
      <color rgb="FFE82E88"/>
      <color rgb="FF00ED92"/>
      <color rgb="FFD975B9"/>
      <color rgb="FFB459FF"/>
      <color rgb="FF99F2DF"/>
      <color rgb="FFF5020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"/>
  <sheetViews>
    <sheetView tabSelected="1" workbookViewId="0">
      <pane ySplit="1" topLeftCell="A2" activePane="bottomLeft" state="frozen"/>
      <selection pane="bottomLeft" activeCell="B36" sqref="B36"/>
    </sheetView>
  </sheetViews>
  <sheetFormatPr defaultRowHeight="15"/>
  <cols>
    <col min="1" max="1" width="18.5703125" style="5" customWidth="1"/>
    <col min="2" max="2" width="50.42578125" style="25" customWidth="1"/>
    <col min="3" max="3" width="17.140625" style="6" customWidth="1"/>
    <col min="4" max="4" width="13.7109375" style="6" customWidth="1"/>
    <col min="5" max="5" width="46.42578125" style="7" customWidth="1"/>
    <col min="6" max="6" width="18.28515625" style="8" customWidth="1"/>
    <col min="7" max="7" width="17.42578125" style="10" customWidth="1"/>
    <col min="8" max="8" width="14.5703125" style="6" customWidth="1"/>
    <col min="9" max="9" width="24.5703125" style="13" customWidth="1"/>
    <col min="10" max="11" width="9.140625" style="12"/>
  </cols>
  <sheetData>
    <row r="1" spans="1:11">
      <c r="A1" s="1" t="s">
        <v>0</v>
      </c>
      <c r="B1" s="24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9" t="s">
        <v>6</v>
      </c>
      <c r="H1" s="2" t="s">
        <v>7</v>
      </c>
      <c r="I1" s="105" t="s">
        <v>8</v>
      </c>
      <c r="J1" s="106"/>
      <c r="K1" s="106"/>
    </row>
    <row r="2" spans="1:11">
      <c r="A2" s="33">
        <v>20284</v>
      </c>
      <c r="B2" s="40" t="s">
        <v>9</v>
      </c>
      <c r="C2" s="35" t="s">
        <v>10</v>
      </c>
      <c r="D2" s="35">
        <v>16</v>
      </c>
      <c r="E2" s="36"/>
      <c r="F2" s="37"/>
      <c r="G2" s="38"/>
      <c r="H2" s="35" t="s">
        <v>11</v>
      </c>
      <c r="I2" s="15" t="s">
        <v>12</v>
      </c>
      <c r="J2" s="16">
        <v>1</v>
      </c>
      <c r="K2" s="17">
        <v>160</v>
      </c>
    </row>
    <row r="3" spans="1:11">
      <c r="A3" s="33">
        <v>20542</v>
      </c>
      <c r="B3" s="34" t="s">
        <v>13</v>
      </c>
      <c r="C3" s="35" t="s">
        <v>10</v>
      </c>
      <c r="D3" s="35">
        <v>12</v>
      </c>
      <c r="E3" s="36"/>
      <c r="F3" s="37"/>
      <c r="G3" s="38"/>
      <c r="H3" s="35" t="s">
        <v>11</v>
      </c>
      <c r="I3" s="104" t="s">
        <v>14</v>
      </c>
      <c r="J3" s="18">
        <v>0.9</v>
      </c>
      <c r="K3" s="19">
        <v>140</v>
      </c>
    </row>
    <row r="4" spans="1:11">
      <c r="A4" s="33">
        <v>20464</v>
      </c>
      <c r="B4" s="39" t="s">
        <v>15</v>
      </c>
      <c r="C4" s="35" t="s">
        <v>10</v>
      </c>
      <c r="D4" s="35">
        <v>8</v>
      </c>
      <c r="E4" s="36"/>
      <c r="F4" s="37"/>
      <c r="G4" s="38"/>
      <c r="H4" s="35" t="s">
        <v>11</v>
      </c>
      <c r="I4" s="104"/>
      <c r="J4" s="18">
        <v>1.1000000000000001</v>
      </c>
      <c r="K4" s="19">
        <v>176</v>
      </c>
    </row>
    <row r="5" spans="1:11">
      <c r="A5" s="5">
        <v>19574</v>
      </c>
      <c r="B5" s="26" t="s">
        <v>16</v>
      </c>
      <c r="D5" s="6">
        <v>20</v>
      </c>
      <c r="H5" s="6" t="s">
        <v>17</v>
      </c>
    </row>
    <row r="6" spans="1:11">
      <c r="A6" s="33">
        <v>20543</v>
      </c>
      <c r="B6" s="34" t="s">
        <v>18</v>
      </c>
      <c r="C6" s="35" t="s">
        <v>10</v>
      </c>
      <c r="D6" s="35">
        <v>12</v>
      </c>
      <c r="E6" s="36"/>
      <c r="F6" s="37"/>
      <c r="G6" s="38"/>
      <c r="H6" s="35" t="s">
        <v>11</v>
      </c>
      <c r="I6" s="13" t="s">
        <v>19</v>
      </c>
      <c r="J6" s="11">
        <f ca="1">K6/K2</f>
        <v>0</v>
      </c>
      <c r="K6" s="14">
        <f ca="1">SUMIFS(D:D, C:C, TEXT(TODAY(), "mmmm")) / J2</f>
        <v>0</v>
      </c>
    </row>
    <row r="7" spans="1:11">
      <c r="A7" s="33">
        <v>20538</v>
      </c>
      <c r="B7" s="34" t="s">
        <v>20</v>
      </c>
      <c r="C7" s="35" t="s">
        <v>10</v>
      </c>
      <c r="D7" s="35">
        <v>4</v>
      </c>
      <c r="E7" s="36"/>
      <c r="F7" s="37"/>
      <c r="G7" s="38"/>
      <c r="H7" s="35" t="s">
        <v>11</v>
      </c>
    </row>
    <row r="8" spans="1:11">
      <c r="A8" s="33">
        <v>20541</v>
      </c>
      <c r="B8" s="34" t="s">
        <v>21</v>
      </c>
      <c r="C8" s="35" t="s">
        <v>10</v>
      </c>
      <c r="D8" s="35">
        <v>8</v>
      </c>
      <c r="E8" s="36"/>
      <c r="F8" s="37"/>
      <c r="G8" s="38"/>
      <c r="H8" s="35" t="s">
        <v>11</v>
      </c>
      <c r="I8" s="105" t="str">
        <f ca="1">"Faltan " &amp; IF(DAY(TODAY())&gt;27, DATE(YEAR(TODAY()), MONTH(TODAY())+1, 27), DATE(YEAR(TODAY()), MONTH(TODAY()), 27)) - TODAY() &amp; " días para el cierre"</f>
        <v>Faltan 29 días para el cierre</v>
      </c>
      <c r="J8" s="106"/>
      <c r="K8" s="106"/>
    </row>
    <row r="9" spans="1:11">
      <c r="A9" s="5">
        <v>20606</v>
      </c>
      <c r="B9" s="25" t="s">
        <v>22</v>
      </c>
      <c r="C9" s="6" t="s">
        <v>10</v>
      </c>
      <c r="D9" s="6">
        <v>8</v>
      </c>
      <c r="H9" s="6" t="s">
        <v>17</v>
      </c>
    </row>
    <row r="10" spans="1:11">
      <c r="A10" s="33">
        <v>20540</v>
      </c>
      <c r="B10" s="34" t="s">
        <v>23</v>
      </c>
      <c r="C10" s="35" t="s">
        <v>10</v>
      </c>
      <c r="D10" s="35">
        <v>8</v>
      </c>
      <c r="E10" s="36"/>
      <c r="F10" s="37"/>
      <c r="G10" s="38"/>
      <c r="H10" s="35" t="s">
        <v>11</v>
      </c>
    </row>
    <row r="11" spans="1:11">
      <c r="A11" s="107" t="s">
        <v>24</v>
      </c>
      <c r="B11" s="108"/>
      <c r="C11" s="108"/>
      <c r="D11" s="108"/>
      <c r="E11" s="108"/>
      <c r="F11" s="108"/>
      <c r="G11" s="108"/>
      <c r="H11" s="109"/>
    </row>
    <row r="12" spans="1:11">
      <c r="A12" s="5">
        <v>20657</v>
      </c>
      <c r="B12" s="25" t="s">
        <v>25</v>
      </c>
      <c r="C12" s="6" t="s">
        <v>24</v>
      </c>
      <c r="D12" s="6">
        <v>4</v>
      </c>
      <c r="H12" s="6" t="s">
        <v>26</v>
      </c>
    </row>
    <row r="13" spans="1:11">
      <c r="A13" s="5">
        <v>20920</v>
      </c>
      <c r="B13" s="52" t="s">
        <v>27</v>
      </c>
      <c r="C13" s="6" t="s">
        <v>24</v>
      </c>
      <c r="D13" s="6">
        <v>48</v>
      </c>
    </row>
    <row r="14" spans="1:11">
      <c r="A14" s="110" t="s">
        <v>28</v>
      </c>
      <c r="B14" s="111"/>
      <c r="C14" s="111"/>
      <c r="D14" s="111"/>
      <c r="E14" s="111"/>
      <c r="F14" s="111"/>
      <c r="G14" s="111"/>
      <c r="H14" s="112"/>
    </row>
  </sheetData>
  <mergeCells count="5">
    <mergeCell ref="I3:I4"/>
    <mergeCell ref="I1:K1"/>
    <mergeCell ref="I8:K8"/>
    <mergeCell ref="A11:H11"/>
    <mergeCell ref="A14:H14"/>
  </mergeCells>
  <conditionalFormatting sqref="J6">
    <cfRule type="cellIs" dxfId="11" priority="3" operator="lessThan">
      <formula>$J$3</formula>
    </cfRule>
  </conditionalFormatting>
  <conditionalFormatting sqref="J6">
    <cfRule type="cellIs" dxfId="10" priority="2" operator="between">
      <formula>$J$3</formula>
      <formula>$J$4</formula>
    </cfRule>
  </conditionalFormatting>
  <conditionalFormatting sqref="J6">
    <cfRule type="cellIs" dxfId="9" priority="1" operator="greaterThan">
      <formula>$J$4</formula>
    </cfRule>
  </conditionalFormatting>
  <dataValidations count="2">
    <dataValidation type="list" allowBlank="1" showInputMessage="1" showErrorMessage="1" sqref="C2:C10 C12:C13 C15:C1048576" xr:uid="{083D1792-04BE-486A-BDC8-97F09026954B}">
      <formula1>"Enero,Febrero,Marzo,Abril,Mayo,Junio,Julio,Agosto,Septiembre,Octubre,Noviembre,Diciembre"</formula1>
    </dataValidation>
    <dataValidation type="list" allowBlank="1" showInputMessage="1" showErrorMessage="1" sqref="H2:H10 H12:H13 H15:H1048576" xr:uid="{FB46E1CE-54AC-4F1B-A904-1AB0F7E47BF8}">
      <formula1>"Accepted Order,Order in porduction,Shipped,Cancel"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DA70D-983E-4FFF-AC3C-3276BA9EE0CB}">
  <dimension ref="A1:K16"/>
  <sheetViews>
    <sheetView workbookViewId="0">
      <pane ySplit="1" topLeftCell="A2" activePane="bottomLeft" state="frozen"/>
      <selection pane="bottomLeft" activeCell="D16" sqref="D16"/>
    </sheetView>
  </sheetViews>
  <sheetFormatPr defaultRowHeight="15"/>
  <cols>
    <col min="1" max="1" width="18.5703125" style="5" customWidth="1"/>
    <col min="2" max="2" width="50.42578125" style="6" customWidth="1"/>
    <col min="3" max="3" width="17.140625" style="6" customWidth="1"/>
    <col min="4" max="4" width="13.7109375" style="6" customWidth="1"/>
    <col min="5" max="5" width="46.42578125" style="7" customWidth="1"/>
    <col min="6" max="6" width="18.28515625" style="8" customWidth="1"/>
    <col min="7" max="7" width="17.42578125" style="10" customWidth="1"/>
    <col min="8" max="8" width="14.5703125" style="6" customWidth="1"/>
    <col min="9" max="9" width="24.5703125" style="13" customWidth="1"/>
    <col min="10" max="11" width="9.140625" style="12"/>
  </cols>
  <sheetData>
    <row r="1" spans="1:1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9" t="s">
        <v>6</v>
      </c>
      <c r="H1" s="2" t="s">
        <v>7</v>
      </c>
      <c r="I1" s="105" t="s">
        <v>8</v>
      </c>
      <c r="J1" s="106"/>
      <c r="K1" s="106"/>
    </row>
    <row r="2" spans="1:11" ht="15.75">
      <c r="A2" s="86">
        <v>20275</v>
      </c>
      <c r="B2" s="86" t="s">
        <v>29</v>
      </c>
      <c r="C2" s="87" t="s">
        <v>10</v>
      </c>
      <c r="D2" s="87">
        <v>24</v>
      </c>
      <c r="E2" s="88" t="s">
        <v>30</v>
      </c>
      <c r="F2" s="89">
        <v>45901</v>
      </c>
      <c r="G2" s="90"/>
      <c r="H2" s="87" t="s">
        <v>11</v>
      </c>
      <c r="I2" s="15" t="s">
        <v>12</v>
      </c>
      <c r="J2" s="16">
        <v>1</v>
      </c>
      <c r="K2" s="17">
        <v>160</v>
      </c>
    </row>
    <row r="3" spans="1:11" ht="15.75">
      <c r="A3" s="91">
        <v>20290</v>
      </c>
      <c r="B3" s="87" t="s">
        <v>31</v>
      </c>
      <c r="C3" s="87" t="s">
        <v>10</v>
      </c>
      <c r="D3" s="87">
        <v>28</v>
      </c>
      <c r="E3" s="88" t="s">
        <v>32</v>
      </c>
      <c r="F3" s="89">
        <v>45904</v>
      </c>
      <c r="G3" s="90"/>
      <c r="H3" s="87" t="s">
        <v>17</v>
      </c>
      <c r="I3" s="104" t="s">
        <v>14</v>
      </c>
      <c r="J3" s="18">
        <v>0.9</v>
      </c>
      <c r="K3" s="19">
        <v>140</v>
      </c>
    </row>
    <row r="4" spans="1:11" ht="15.75">
      <c r="A4" s="91">
        <v>20390</v>
      </c>
      <c r="B4" s="92" t="s">
        <v>33</v>
      </c>
      <c r="C4" s="87" t="s">
        <v>10</v>
      </c>
      <c r="D4" s="87">
        <v>14</v>
      </c>
      <c r="E4" s="88" t="s">
        <v>34</v>
      </c>
      <c r="F4" s="89">
        <v>45909</v>
      </c>
      <c r="G4" s="90"/>
      <c r="H4" s="87" t="s">
        <v>11</v>
      </c>
      <c r="I4" s="104"/>
      <c r="J4" s="18">
        <v>1.1000000000000001</v>
      </c>
      <c r="K4" s="19">
        <v>176</v>
      </c>
    </row>
    <row r="5" spans="1:11" ht="15.75">
      <c r="A5" s="91">
        <v>20413</v>
      </c>
      <c r="B5" s="87" t="s">
        <v>35</v>
      </c>
      <c r="C5" s="87" t="s">
        <v>10</v>
      </c>
      <c r="D5" s="87">
        <v>8</v>
      </c>
      <c r="E5" s="88" t="s">
        <v>36</v>
      </c>
      <c r="F5" s="89">
        <v>45911</v>
      </c>
      <c r="G5" s="93">
        <v>45911</v>
      </c>
      <c r="H5" s="87" t="s">
        <v>11</v>
      </c>
    </row>
    <row r="6" spans="1:11" ht="15.75">
      <c r="A6" s="91">
        <v>20450</v>
      </c>
      <c r="B6" s="87" t="s">
        <v>37</v>
      </c>
      <c r="C6" s="87" t="s">
        <v>10</v>
      </c>
      <c r="D6" s="87">
        <v>24</v>
      </c>
      <c r="E6" s="88" t="s">
        <v>38</v>
      </c>
      <c r="F6" s="89">
        <v>45917</v>
      </c>
      <c r="G6" s="90"/>
      <c r="H6" s="87" t="s">
        <v>17</v>
      </c>
      <c r="I6" s="13" t="s">
        <v>19</v>
      </c>
      <c r="J6" s="11">
        <f ca="1">K6/K2</f>
        <v>0.96875</v>
      </c>
      <c r="K6" s="14">
        <f ca="1">SUMIFS(D:D, C:C, TEXT(TODAY(), "mmmm")) / J2</f>
        <v>155</v>
      </c>
    </row>
    <row r="7" spans="1:11" ht="15.75">
      <c r="A7" s="91">
        <v>20451</v>
      </c>
      <c r="B7" s="87" t="s">
        <v>39</v>
      </c>
      <c r="C7" s="87" t="s">
        <v>10</v>
      </c>
      <c r="D7" s="87">
        <v>29</v>
      </c>
      <c r="E7" s="88" t="s">
        <v>40</v>
      </c>
      <c r="F7" s="89">
        <v>45911</v>
      </c>
      <c r="G7" s="90"/>
      <c r="H7" s="87" t="s">
        <v>17</v>
      </c>
    </row>
    <row r="8" spans="1:11" ht="15.75">
      <c r="A8" s="91">
        <v>19738</v>
      </c>
      <c r="B8" s="87" t="s">
        <v>41</v>
      </c>
      <c r="C8" s="87" t="s">
        <v>10</v>
      </c>
      <c r="D8" s="87">
        <v>30</v>
      </c>
      <c r="E8" s="88" t="s">
        <v>42</v>
      </c>
      <c r="F8" s="87"/>
      <c r="G8" s="90"/>
      <c r="H8" s="87" t="s">
        <v>17</v>
      </c>
      <c r="I8" s="105" t="str">
        <f ca="1">"Faltan " &amp; IF(DAY(TODAY())&gt;27, DATE(YEAR(TODAY()), MONTH(TODAY())+1, 27), DATE(YEAR(TODAY()), MONTH(TODAY()), 27)) - TODAY() &amp; " días para el cierre"</f>
        <v>Faltan 29 días para el cierre</v>
      </c>
      <c r="J8" s="106"/>
      <c r="K8" s="106"/>
    </row>
    <row r="9" spans="1:11" ht="15.75">
      <c r="A9" s="94">
        <v>20726</v>
      </c>
      <c r="B9" s="87" t="s">
        <v>43</v>
      </c>
      <c r="C9" s="87" t="s">
        <v>24</v>
      </c>
      <c r="D9" s="87">
        <v>72</v>
      </c>
      <c r="E9" s="88" t="s">
        <v>44</v>
      </c>
      <c r="F9" s="87"/>
      <c r="G9" s="90"/>
      <c r="H9" s="87" t="s">
        <v>17</v>
      </c>
    </row>
    <row r="10" spans="1:11" ht="15.75">
      <c r="A10" s="95">
        <v>20451</v>
      </c>
      <c r="B10" s="96" t="s">
        <v>39</v>
      </c>
      <c r="C10" s="87" t="s">
        <v>24</v>
      </c>
      <c r="D10" s="87">
        <v>8</v>
      </c>
      <c r="E10" s="88" t="s">
        <v>45</v>
      </c>
      <c r="F10" s="87"/>
      <c r="G10" s="90"/>
      <c r="H10" s="87" t="s">
        <v>17</v>
      </c>
    </row>
    <row r="11" spans="1:11" ht="15.75">
      <c r="A11" s="97">
        <v>20760</v>
      </c>
      <c r="B11" s="87" t="s">
        <v>46</v>
      </c>
      <c r="C11" s="87" t="s">
        <v>24</v>
      </c>
      <c r="D11" s="87">
        <v>8</v>
      </c>
      <c r="E11" s="88" t="s">
        <v>45</v>
      </c>
      <c r="F11" s="87"/>
      <c r="G11" s="90"/>
      <c r="H11" s="87" t="s">
        <v>17</v>
      </c>
    </row>
    <row r="12" spans="1:11" ht="15.75">
      <c r="A12" s="98">
        <v>20764</v>
      </c>
      <c r="B12" s="87" t="s">
        <v>47</v>
      </c>
      <c r="C12" s="87" t="s">
        <v>24</v>
      </c>
      <c r="D12" s="87">
        <v>64</v>
      </c>
      <c r="E12" s="88" t="s">
        <v>48</v>
      </c>
      <c r="F12" s="87"/>
      <c r="G12" s="90"/>
      <c r="H12" s="87" t="s">
        <v>17</v>
      </c>
    </row>
    <row r="13" spans="1:11" ht="15.75">
      <c r="A13" s="91">
        <v>20935</v>
      </c>
      <c r="B13" s="96" t="s">
        <v>49</v>
      </c>
      <c r="C13" s="87" t="s">
        <v>24</v>
      </c>
      <c r="D13" s="87">
        <v>8</v>
      </c>
      <c r="E13" s="88" t="s">
        <v>50</v>
      </c>
      <c r="F13" s="87"/>
      <c r="G13" s="90"/>
      <c r="H13" s="87" t="s">
        <v>17</v>
      </c>
    </row>
    <row r="14" spans="1:11" ht="15.75">
      <c r="A14" s="98">
        <v>21307</v>
      </c>
      <c r="B14" s="87" t="s">
        <v>51</v>
      </c>
      <c r="C14" s="87" t="s">
        <v>28</v>
      </c>
      <c r="D14" s="87">
        <v>96</v>
      </c>
      <c r="E14" s="88" t="s">
        <v>52</v>
      </c>
      <c r="F14" s="87"/>
      <c r="G14" s="90"/>
      <c r="H14" s="87" t="s">
        <v>11</v>
      </c>
    </row>
    <row r="15" spans="1:11" ht="15.75">
      <c r="A15" s="98">
        <v>21308</v>
      </c>
      <c r="B15" s="87" t="s">
        <v>53</v>
      </c>
      <c r="C15" s="87" t="s">
        <v>54</v>
      </c>
      <c r="D15" s="87">
        <v>80</v>
      </c>
      <c r="E15" s="88" t="s">
        <v>55</v>
      </c>
      <c r="F15" s="89">
        <v>45992</v>
      </c>
      <c r="G15" s="90"/>
      <c r="H15" s="87" t="s">
        <v>17</v>
      </c>
    </row>
    <row r="16" spans="1:11" ht="15.75">
      <c r="A16" s="98">
        <v>21480</v>
      </c>
      <c r="B16" s="99" t="s">
        <v>56</v>
      </c>
      <c r="C16" s="100" t="s">
        <v>54</v>
      </c>
      <c r="D16" s="101">
        <v>75</v>
      </c>
      <c r="E16" s="7" t="s">
        <v>57</v>
      </c>
      <c r="H16" s="6" t="s">
        <v>17</v>
      </c>
    </row>
  </sheetData>
  <mergeCells count="3">
    <mergeCell ref="I1:K1"/>
    <mergeCell ref="I3:I4"/>
    <mergeCell ref="I8:K8"/>
  </mergeCells>
  <conditionalFormatting sqref="J6">
    <cfRule type="cellIs" dxfId="8" priority="3" operator="lessThan">
      <formula>$J$3</formula>
    </cfRule>
  </conditionalFormatting>
  <conditionalFormatting sqref="J6">
    <cfRule type="cellIs" dxfId="7" priority="2" operator="between">
      <formula>$J$3</formula>
      <formula>$J$4</formula>
    </cfRule>
  </conditionalFormatting>
  <conditionalFormatting sqref="J6">
    <cfRule type="cellIs" dxfId="6" priority="1" operator="greaterThan">
      <formula>$J$4</formula>
    </cfRule>
  </conditionalFormatting>
  <dataValidations count="2">
    <dataValidation type="list" allowBlank="1" showInputMessage="1" showErrorMessage="1" sqref="C2:C1048576" xr:uid="{A5C53EF2-841B-4CE2-BD30-239CBA8AA7B6}">
      <formula1>"Enero,Febrero,Marzo,Abril,Mayo,Junio,Julio,Agosto,Septiembre,Octubre,Noviembre,Diciembre"</formula1>
    </dataValidation>
    <dataValidation type="list" allowBlank="1" showInputMessage="1" showErrorMessage="1" sqref="H15:H1048576 H2:H13" xr:uid="{C1726DBE-B8CF-478B-AF16-A1A47214187C}">
      <formula1>"Accepted Order,Order in porduction,Shipped,Cancel"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E71F9-0D53-4CB5-9CDA-F58D7DBFF01A}">
  <dimension ref="A1:K51"/>
  <sheetViews>
    <sheetView workbookViewId="0">
      <pane ySplit="1" topLeftCell="A27" activePane="bottomLeft" state="frozen"/>
      <selection pane="bottomLeft" activeCell="B43" sqref="B43"/>
    </sheetView>
  </sheetViews>
  <sheetFormatPr defaultRowHeight="15"/>
  <cols>
    <col min="1" max="1" width="18.5703125" style="5" customWidth="1"/>
    <col min="2" max="2" width="50.42578125" style="6" customWidth="1"/>
    <col min="3" max="3" width="17.140625" style="6" customWidth="1"/>
    <col min="4" max="4" width="13.7109375" style="6" customWidth="1"/>
    <col min="5" max="5" width="46.42578125" style="7" customWidth="1"/>
    <col min="6" max="6" width="18.28515625" style="8" customWidth="1"/>
    <col min="7" max="7" width="17.42578125" style="10" customWidth="1"/>
    <col min="8" max="8" width="14.5703125" style="6" customWidth="1"/>
    <col min="9" max="9" width="24.5703125" style="13" customWidth="1"/>
    <col min="10" max="11" width="9.140625" style="12"/>
  </cols>
  <sheetData>
    <row r="1" spans="1:1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9" t="s">
        <v>6</v>
      </c>
      <c r="H1" s="2" t="s">
        <v>7</v>
      </c>
      <c r="I1" s="105" t="s">
        <v>8</v>
      </c>
      <c r="J1" s="106"/>
      <c r="K1" s="106"/>
    </row>
    <row r="2" spans="1:11">
      <c r="A2" s="22" t="s">
        <v>58</v>
      </c>
      <c r="B2" s="23" t="s">
        <v>59</v>
      </c>
      <c r="C2" s="23"/>
      <c r="D2" s="23">
        <v>24</v>
      </c>
      <c r="E2" s="27"/>
      <c r="F2" s="28"/>
      <c r="G2" s="29"/>
      <c r="H2" s="23"/>
      <c r="I2" s="15" t="s">
        <v>12</v>
      </c>
      <c r="J2" s="16">
        <v>1</v>
      </c>
      <c r="K2" s="17">
        <v>160</v>
      </c>
    </row>
    <row r="3" spans="1:11">
      <c r="A3" s="22" t="s">
        <v>60</v>
      </c>
      <c r="B3" s="23" t="s">
        <v>61</v>
      </c>
      <c r="C3" s="23"/>
      <c r="D3" s="23">
        <v>11</v>
      </c>
      <c r="E3" s="27" t="s">
        <v>62</v>
      </c>
      <c r="F3" s="28"/>
      <c r="G3" s="29"/>
      <c r="H3" s="23"/>
      <c r="I3" s="104" t="s">
        <v>14</v>
      </c>
      <c r="J3" s="18">
        <v>0.9</v>
      </c>
      <c r="K3" s="19">
        <v>140</v>
      </c>
    </row>
    <row r="4" spans="1:11">
      <c r="A4" s="22">
        <v>19734</v>
      </c>
      <c r="B4" s="23" t="s">
        <v>63</v>
      </c>
      <c r="C4" s="23"/>
      <c r="D4" s="23">
        <v>2</v>
      </c>
      <c r="E4" s="27"/>
      <c r="F4" s="28"/>
      <c r="G4" s="29"/>
      <c r="H4" s="23"/>
      <c r="I4" s="104"/>
      <c r="J4" s="18">
        <v>1.1000000000000001</v>
      </c>
      <c r="K4" s="19">
        <v>176</v>
      </c>
    </row>
    <row r="5" spans="1:11">
      <c r="A5" s="22">
        <v>20349</v>
      </c>
      <c r="B5" s="23" t="s">
        <v>64</v>
      </c>
      <c r="C5" s="23"/>
      <c r="D5" s="23">
        <v>7</v>
      </c>
      <c r="E5" s="27" t="s">
        <v>65</v>
      </c>
      <c r="F5" s="28"/>
      <c r="G5" s="29"/>
      <c r="H5" s="23"/>
    </row>
    <row r="6" spans="1:11">
      <c r="A6" s="22">
        <v>20213</v>
      </c>
      <c r="B6" s="23" t="s">
        <v>66</v>
      </c>
      <c r="C6" s="23"/>
      <c r="D6" s="23">
        <v>4</v>
      </c>
      <c r="E6" s="27"/>
      <c r="F6" s="28"/>
      <c r="G6" s="29"/>
      <c r="H6" s="23"/>
      <c r="I6" s="13" t="s">
        <v>19</v>
      </c>
      <c r="J6" s="11">
        <f ca="1">K6/K2</f>
        <v>0.80625000000000002</v>
      </c>
      <c r="K6" s="14">
        <f ca="1">SUMIFS(D:D, C:C, TEXT(TODAY(), "mmmm")) / J2</f>
        <v>129</v>
      </c>
    </row>
    <row r="7" spans="1:11">
      <c r="A7" s="22" t="s">
        <v>67</v>
      </c>
      <c r="B7" s="23" t="s">
        <v>68</v>
      </c>
      <c r="C7" s="23"/>
      <c r="D7" s="23">
        <v>1</v>
      </c>
      <c r="E7" s="27" t="s">
        <v>69</v>
      </c>
      <c r="F7" s="28" t="s">
        <v>70</v>
      </c>
      <c r="G7" s="29"/>
      <c r="H7" s="23"/>
    </row>
    <row r="8" spans="1:11" ht="29.25">
      <c r="A8" s="22" t="s">
        <v>67</v>
      </c>
      <c r="B8" s="23" t="s">
        <v>71</v>
      </c>
      <c r="C8" s="23"/>
      <c r="D8" s="23">
        <v>40</v>
      </c>
      <c r="E8" s="31" t="s">
        <v>72</v>
      </c>
      <c r="F8" s="28"/>
      <c r="G8" s="32" t="s">
        <v>73</v>
      </c>
      <c r="H8" s="23"/>
      <c r="I8" s="105" t="str">
        <f ca="1">"Faltan " &amp; IF(DAY(TODAY())&gt;27, DATE(YEAR(TODAY()), MONTH(TODAY())+1, 27), DATE(YEAR(TODAY()), MONTH(TODAY()), 27)) - TODAY() &amp; " días para el cierre"</f>
        <v>Faltan 29 días para el cierre</v>
      </c>
      <c r="J8" s="106"/>
      <c r="K8" s="106"/>
    </row>
    <row r="9" spans="1:11">
      <c r="A9" s="30">
        <v>20349</v>
      </c>
      <c r="B9" s="23" t="s">
        <v>74</v>
      </c>
      <c r="C9" s="23"/>
      <c r="D9" s="23">
        <v>9</v>
      </c>
      <c r="E9" s="27"/>
      <c r="F9" s="28"/>
      <c r="G9" s="29"/>
      <c r="H9" s="23"/>
    </row>
    <row r="10" spans="1:11" ht="29.25">
      <c r="A10" s="22" t="s">
        <v>75</v>
      </c>
      <c r="B10" s="23" t="s">
        <v>76</v>
      </c>
      <c r="C10" s="23"/>
      <c r="D10" s="23">
        <v>37</v>
      </c>
      <c r="E10" s="31" t="s">
        <v>77</v>
      </c>
      <c r="F10" s="28" t="s">
        <v>78</v>
      </c>
      <c r="G10" s="29"/>
      <c r="H10" s="23"/>
    </row>
    <row r="11" spans="1:11">
      <c r="A11" s="22">
        <v>20284</v>
      </c>
      <c r="B11" s="23" t="s">
        <v>79</v>
      </c>
      <c r="C11" s="23"/>
      <c r="D11" s="23">
        <v>8</v>
      </c>
      <c r="E11" s="27"/>
      <c r="F11" s="28"/>
      <c r="G11" s="29"/>
      <c r="H11" s="23"/>
    </row>
    <row r="12" spans="1:11">
      <c r="B12" s="6" t="s">
        <v>80</v>
      </c>
      <c r="D12" s="6">
        <v>8</v>
      </c>
    </row>
    <row r="13" spans="1:11">
      <c r="A13" s="41" t="s">
        <v>81</v>
      </c>
      <c r="B13" s="42"/>
      <c r="C13" s="42"/>
      <c r="D13" s="42"/>
      <c r="E13" s="43"/>
      <c r="F13" s="44"/>
      <c r="G13" s="45"/>
      <c r="H13" s="42"/>
    </row>
    <row r="14" spans="1:11" ht="29.25">
      <c r="A14" s="46">
        <v>20641</v>
      </c>
      <c r="B14" s="47" t="s">
        <v>59</v>
      </c>
      <c r="C14" s="47"/>
      <c r="D14" s="47">
        <v>6</v>
      </c>
      <c r="E14" s="51" t="s">
        <v>82</v>
      </c>
      <c r="F14" s="49" t="s">
        <v>83</v>
      </c>
      <c r="G14" s="50" t="s">
        <v>83</v>
      </c>
      <c r="H14" s="47"/>
    </row>
    <row r="15" spans="1:11">
      <c r="A15" s="46" t="s">
        <v>84</v>
      </c>
      <c r="B15" s="47" t="s">
        <v>85</v>
      </c>
      <c r="C15" s="47"/>
      <c r="D15" s="47">
        <v>3</v>
      </c>
      <c r="E15" s="48"/>
      <c r="F15" s="49" t="s">
        <v>86</v>
      </c>
      <c r="G15" s="50" t="s">
        <v>87</v>
      </c>
      <c r="H15" s="47"/>
    </row>
    <row r="16" spans="1:11">
      <c r="B16" s="6" t="s">
        <v>88</v>
      </c>
      <c r="D16" s="6">
        <v>7</v>
      </c>
    </row>
    <row r="17" spans="1:8">
      <c r="A17" s="46" t="s">
        <v>89</v>
      </c>
      <c r="B17" s="47" t="s">
        <v>90</v>
      </c>
      <c r="C17" s="47"/>
      <c r="D17" s="47">
        <v>18</v>
      </c>
      <c r="E17" s="48"/>
      <c r="F17" s="49" t="s">
        <v>91</v>
      </c>
      <c r="G17" s="50" t="s">
        <v>92</v>
      </c>
      <c r="H17" s="47"/>
    </row>
    <row r="18" spans="1:8">
      <c r="A18" s="46" t="s">
        <v>93</v>
      </c>
      <c r="B18" s="47" t="s">
        <v>94</v>
      </c>
      <c r="C18" s="47"/>
      <c r="D18" s="47">
        <v>6</v>
      </c>
      <c r="E18" s="48"/>
      <c r="F18" s="49"/>
      <c r="G18" s="50" t="s">
        <v>92</v>
      </c>
      <c r="H18" s="47"/>
    </row>
    <row r="19" spans="1:8">
      <c r="B19" s="6" t="s">
        <v>95</v>
      </c>
      <c r="D19" s="6">
        <v>2</v>
      </c>
    </row>
    <row r="20" spans="1:8">
      <c r="A20" s="46" t="s">
        <v>96</v>
      </c>
      <c r="B20" s="47" t="s">
        <v>97</v>
      </c>
      <c r="C20" s="47"/>
      <c r="D20" s="47">
        <v>1</v>
      </c>
      <c r="E20" s="48"/>
      <c r="F20" s="49" t="s">
        <v>98</v>
      </c>
      <c r="G20" s="50" t="s">
        <v>99</v>
      </c>
      <c r="H20" s="47"/>
    </row>
    <row r="21" spans="1:8">
      <c r="A21" s="46">
        <v>20944</v>
      </c>
      <c r="B21" s="47" t="s">
        <v>100</v>
      </c>
      <c r="C21" s="47"/>
      <c r="D21" s="47">
        <v>10</v>
      </c>
      <c r="E21" s="48" t="s">
        <v>101</v>
      </c>
      <c r="F21" s="49" t="s">
        <v>102</v>
      </c>
      <c r="G21" s="50" t="s">
        <v>103</v>
      </c>
      <c r="H21" s="47"/>
    </row>
    <row r="22" spans="1:8" ht="29.25">
      <c r="A22" s="46" t="s">
        <v>93</v>
      </c>
      <c r="B22" s="53" t="s">
        <v>104</v>
      </c>
      <c r="C22" s="47"/>
      <c r="D22" s="47">
        <v>10</v>
      </c>
      <c r="E22" s="48"/>
      <c r="F22" s="49" t="s">
        <v>105</v>
      </c>
      <c r="G22" s="50" t="s">
        <v>99</v>
      </c>
      <c r="H22" s="47"/>
    </row>
    <row r="23" spans="1:8">
      <c r="A23" s="46" t="s">
        <v>106</v>
      </c>
      <c r="B23" s="47" t="s">
        <v>107</v>
      </c>
      <c r="C23" s="47"/>
      <c r="D23" s="47">
        <v>37</v>
      </c>
      <c r="E23" s="48"/>
      <c r="F23" s="49"/>
      <c r="G23" s="50"/>
      <c r="H23" s="47"/>
    </row>
    <row r="24" spans="1:8">
      <c r="A24" s="46" t="s">
        <v>96</v>
      </c>
      <c r="B24" s="47" t="s">
        <v>108</v>
      </c>
      <c r="C24" s="47"/>
      <c r="D24" s="47">
        <v>2</v>
      </c>
      <c r="E24" s="48"/>
      <c r="F24" s="49"/>
      <c r="G24" s="50"/>
      <c r="H24" s="47"/>
    </row>
    <row r="25" spans="1:8">
      <c r="A25" s="46" t="s">
        <v>96</v>
      </c>
      <c r="B25" s="47" t="s">
        <v>109</v>
      </c>
      <c r="C25" s="47"/>
      <c r="D25" s="47">
        <v>9</v>
      </c>
      <c r="E25" s="48" t="s">
        <v>110</v>
      </c>
      <c r="F25" s="49"/>
      <c r="G25" s="50"/>
      <c r="H25" s="47"/>
    </row>
    <row r="26" spans="1:8">
      <c r="A26" s="46" t="s">
        <v>84</v>
      </c>
      <c r="B26" s="47" t="s">
        <v>111</v>
      </c>
      <c r="C26" s="47"/>
      <c r="D26" s="47">
        <v>2</v>
      </c>
      <c r="E26" s="48" t="s">
        <v>112</v>
      </c>
      <c r="F26" s="49"/>
      <c r="G26" s="50"/>
      <c r="H26" s="47"/>
    </row>
    <row r="27" spans="1:8">
      <c r="B27" s="6" t="s">
        <v>113</v>
      </c>
      <c r="D27" s="6">
        <v>10</v>
      </c>
    </row>
    <row r="28" spans="1:8">
      <c r="A28" s="41" t="s">
        <v>114</v>
      </c>
      <c r="B28" s="42"/>
      <c r="C28" s="42"/>
      <c r="D28" s="42"/>
      <c r="E28" s="43"/>
      <c r="F28" s="44"/>
      <c r="G28" s="45"/>
      <c r="H28" s="42"/>
    </row>
    <row r="29" spans="1:8" ht="29.25">
      <c r="A29" s="77" t="s">
        <v>115</v>
      </c>
      <c r="B29" s="78" t="s">
        <v>116</v>
      </c>
      <c r="C29" s="78" t="s">
        <v>28</v>
      </c>
      <c r="D29" s="78">
        <v>18</v>
      </c>
      <c r="E29" s="79" t="s">
        <v>117</v>
      </c>
      <c r="F29" s="80" t="s">
        <v>118</v>
      </c>
      <c r="G29" s="82" t="s">
        <v>119</v>
      </c>
      <c r="H29" s="78" t="s">
        <v>17</v>
      </c>
    </row>
    <row r="30" spans="1:8">
      <c r="A30" s="77" t="s">
        <v>120</v>
      </c>
      <c r="B30" s="78" t="s">
        <v>121</v>
      </c>
      <c r="C30" s="78" t="s">
        <v>28</v>
      </c>
      <c r="D30" s="78">
        <v>30</v>
      </c>
      <c r="E30" s="81" t="s">
        <v>122</v>
      </c>
      <c r="F30" s="80">
        <v>2</v>
      </c>
      <c r="G30" s="82">
        <v>6</v>
      </c>
      <c r="H30" s="78"/>
    </row>
    <row r="31" spans="1:8">
      <c r="B31" s="6" t="s">
        <v>123</v>
      </c>
      <c r="C31" s="6" t="s">
        <v>28</v>
      </c>
      <c r="D31" s="6">
        <v>20</v>
      </c>
    </row>
    <row r="32" spans="1:8">
      <c r="A32" s="77">
        <v>21245</v>
      </c>
      <c r="B32" s="78" t="s">
        <v>124</v>
      </c>
      <c r="C32" s="78" t="s">
        <v>28</v>
      </c>
      <c r="D32" s="78">
        <v>26</v>
      </c>
      <c r="E32" s="81"/>
      <c r="F32" s="80"/>
      <c r="G32" s="82"/>
      <c r="H32" s="78"/>
    </row>
    <row r="33" spans="1:8">
      <c r="B33" s="6" t="s">
        <v>113</v>
      </c>
      <c r="C33" s="6" t="s">
        <v>28</v>
      </c>
      <c r="D33" s="6">
        <v>10</v>
      </c>
    </row>
    <row r="34" spans="1:8">
      <c r="A34" s="77" t="s">
        <v>125</v>
      </c>
      <c r="B34" s="78" t="s">
        <v>126</v>
      </c>
      <c r="C34" s="78" t="s">
        <v>28</v>
      </c>
      <c r="D34" s="78">
        <v>25</v>
      </c>
      <c r="E34" s="81"/>
      <c r="F34" s="80"/>
      <c r="G34" s="82"/>
      <c r="H34" s="78"/>
    </row>
    <row r="35" spans="1:8">
      <c r="B35" s="6" t="s">
        <v>127</v>
      </c>
      <c r="C35" s="6" t="s">
        <v>28</v>
      </c>
      <c r="D35" s="6">
        <v>8</v>
      </c>
    </row>
    <row r="36" spans="1:8">
      <c r="B36" s="6" t="s">
        <v>128</v>
      </c>
      <c r="C36" s="6" t="s">
        <v>28</v>
      </c>
      <c r="D36" s="6">
        <v>8</v>
      </c>
      <c r="F36" s="8" t="s">
        <v>129</v>
      </c>
      <c r="G36" s="20">
        <v>45978</v>
      </c>
    </row>
    <row r="38" spans="1:8">
      <c r="A38" s="41" t="s">
        <v>130</v>
      </c>
      <c r="B38" s="42"/>
      <c r="C38" s="42"/>
      <c r="D38" s="42"/>
      <c r="E38" s="43"/>
      <c r="F38" s="44"/>
      <c r="G38" s="45"/>
      <c r="H38" s="42"/>
    </row>
    <row r="39" spans="1:8">
      <c r="B39" s="6" t="s">
        <v>131</v>
      </c>
      <c r="C39" s="6" t="s">
        <v>54</v>
      </c>
      <c r="D39" s="6">
        <v>5</v>
      </c>
      <c r="E39" s="7" t="s">
        <v>132</v>
      </c>
      <c r="F39" s="85">
        <v>45989</v>
      </c>
      <c r="G39" s="20">
        <v>45989</v>
      </c>
    </row>
    <row r="40" spans="1:8">
      <c r="B40" s="6" t="s">
        <v>113</v>
      </c>
      <c r="C40" s="6" t="s">
        <v>54</v>
      </c>
      <c r="D40" s="6">
        <v>21</v>
      </c>
      <c r="F40" s="85">
        <v>45992</v>
      </c>
      <c r="G40" s="20">
        <v>45995</v>
      </c>
    </row>
    <row r="41" spans="1:8">
      <c r="A41" s="77">
        <v>21245</v>
      </c>
      <c r="B41" s="78" t="s">
        <v>133</v>
      </c>
      <c r="C41" s="78" t="s">
        <v>54</v>
      </c>
      <c r="D41" s="78">
        <v>2</v>
      </c>
      <c r="E41" s="81"/>
      <c r="F41" s="80"/>
      <c r="G41" s="82"/>
      <c r="H41" s="78"/>
    </row>
    <row r="42" spans="1:8">
      <c r="A42" s="77">
        <v>21368</v>
      </c>
      <c r="B42" s="78" t="s">
        <v>134</v>
      </c>
      <c r="C42" s="78" t="s">
        <v>54</v>
      </c>
      <c r="D42" s="78">
        <v>2</v>
      </c>
      <c r="E42" s="81"/>
      <c r="F42" s="80"/>
      <c r="G42" s="82"/>
      <c r="H42" s="78"/>
    </row>
    <row r="43" spans="1:8">
      <c r="B43" s="6" t="s">
        <v>135</v>
      </c>
      <c r="C43" s="6" t="s">
        <v>54</v>
      </c>
      <c r="D43" s="6">
        <v>35</v>
      </c>
    </row>
    <row r="44" spans="1:8">
      <c r="A44" s="77">
        <v>21368</v>
      </c>
      <c r="B44" s="78" t="s">
        <v>136</v>
      </c>
      <c r="C44" s="78"/>
      <c r="D44" s="78">
        <v>1</v>
      </c>
    </row>
    <row r="45" spans="1:8">
      <c r="A45" s="5">
        <v>0</v>
      </c>
      <c r="B45" s="6" t="s">
        <v>137</v>
      </c>
      <c r="C45" s="6" t="s">
        <v>54</v>
      </c>
      <c r="D45" s="6">
        <v>8</v>
      </c>
    </row>
    <row r="46" spans="1:8">
      <c r="A46" s="22" t="s">
        <v>138</v>
      </c>
      <c r="B46" s="23" t="s">
        <v>139</v>
      </c>
      <c r="C46" s="23" t="s">
        <v>54</v>
      </c>
      <c r="D46" s="23">
        <v>30</v>
      </c>
    </row>
    <row r="47" spans="1:8">
      <c r="B47" s="6" t="s">
        <v>140</v>
      </c>
      <c r="C47" s="6" t="s">
        <v>54</v>
      </c>
      <c r="D47" s="6">
        <v>3</v>
      </c>
    </row>
    <row r="48" spans="1:8">
      <c r="B48" s="6" t="s">
        <v>141</v>
      </c>
      <c r="C48" s="6" t="s">
        <v>54</v>
      </c>
      <c r="D48" s="6">
        <v>7</v>
      </c>
    </row>
    <row r="49" spans="2:4">
      <c r="B49" s="6" t="s">
        <v>142</v>
      </c>
      <c r="C49" s="6" t="s">
        <v>54</v>
      </c>
      <c r="D49" s="6">
        <v>1</v>
      </c>
    </row>
    <row r="50" spans="2:4">
      <c r="B50" s="6" t="s">
        <v>143</v>
      </c>
      <c r="C50" s="6" t="s">
        <v>54</v>
      </c>
      <c r="D50" s="6">
        <v>5</v>
      </c>
    </row>
    <row r="51" spans="2:4">
      <c r="B51" s="6" t="s">
        <v>144</v>
      </c>
      <c r="C51" s="6" t="s">
        <v>54</v>
      </c>
      <c r="D51" s="6">
        <v>10</v>
      </c>
    </row>
  </sheetData>
  <mergeCells count="3">
    <mergeCell ref="I1:K1"/>
    <mergeCell ref="I3:I4"/>
    <mergeCell ref="I8:K8"/>
  </mergeCells>
  <conditionalFormatting sqref="J6">
    <cfRule type="cellIs" dxfId="5" priority="3" operator="lessThan">
      <formula>$J$3</formula>
    </cfRule>
  </conditionalFormatting>
  <conditionalFormatting sqref="J6">
    <cfRule type="cellIs" dxfId="4" priority="2" operator="between">
      <formula>$J$3</formula>
      <formula>$J$4</formula>
    </cfRule>
  </conditionalFormatting>
  <conditionalFormatting sqref="J6">
    <cfRule type="cellIs" dxfId="3" priority="1" operator="greaterThan">
      <formula>$J$4</formula>
    </cfRule>
  </conditionalFormatting>
  <dataValidations count="2">
    <dataValidation type="list" allowBlank="1" showInputMessage="1" showErrorMessage="1" sqref="C2:C1048576" xr:uid="{5C99F4B6-402E-4A9C-9BE1-96FAC6183986}">
      <formula1>"Enero,Febrero,Marzo,Abril,Mayo,Junio,Julio,Agosto,Septiembre,Octubre,Noviembre,Diciembre"</formula1>
    </dataValidation>
    <dataValidation type="list" allowBlank="1" showInputMessage="1" showErrorMessage="1" sqref="H2:H1048576" xr:uid="{5DDCF62E-6AEB-4C13-89E5-967C6328CCEB}">
      <formula1>"Accepted Order,Order in porduction,Shipped,Cancel"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C28A8-33DA-4BC8-BFDA-9CA4EA6D82CC}">
  <dimension ref="A1:N19"/>
  <sheetViews>
    <sheetView workbookViewId="0">
      <pane ySplit="1" topLeftCell="B2" activePane="bottomLeft" state="frozen"/>
      <selection pane="bottomLeft" activeCell="C20" sqref="C20"/>
    </sheetView>
  </sheetViews>
  <sheetFormatPr defaultRowHeight="15"/>
  <cols>
    <col min="1" max="1" width="18.5703125" style="5" customWidth="1"/>
    <col min="2" max="2" width="50.42578125" style="6" customWidth="1"/>
    <col min="3" max="3" width="17.140625" style="6" customWidth="1"/>
    <col min="4" max="4" width="13.7109375" style="6" customWidth="1"/>
    <col min="5" max="5" width="46.42578125" style="7" customWidth="1"/>
    <col min="6" max="6" width="18.28515625" style="8" customWidth="1"/>
    <col min="7" max="7" width="17.42578125" style="10" customWidth="1"/>
    <col min="8" max="8" width="21.5703125" style="6" customWidth="1"/>
    <col min="9" max="9" width="24.5703125" style="13" customWidth="1"/>
    <col min="10" max="11" width="9.140625" style="12"/>
  </cols>
  <sheetData>
    <row r="1" spans="1:14">
      <c r="A1" s="54" t="s">
        <v>0</v>
      </c>
      <c r="B1" s="55" t="s">
        <v>1</v>
      </c>
      <c r="C1" s="55" t="s">
        <v>2</v>
      </c>
      <c r="D1" s="55" t="s">
        <v>3</v>
      </c>
      <c r="E1" s="56" t="s">
        <v>4</v>
      </c>
      <c r="F1" s="57" t="s">
        <v>5</v>
      </c>
      <c r="G1" s="58" t="s">
        <v>6</v>
      </c>
      <c r="H1" s="55" t="s">
        <v>7</v>
      </c>
      <c r="I1" s="113" t="s">
        <v>8</v>
      </c>
      <c r="J1" s="114"/>
      <c r="K1" s="114"/>
      <c r="L1" s="60"/>
      <c r="M1" s="60"/>
      <c r="N1" s="60"/>
    </row>
    <row r="2" spans="1:14">
      <c r="A2" s="61">
        <v>20275</v>
      </c>
      <c r="B2" s="62" t="s">
        <v>29</v>
      </c>
      <c r="C2" s="62" t="s">
        <v>10</v>
      </c>
      <c r="D2" s="62">
        <v>5</v>
      </c>
      <c r="E2" s="63" t="s">
        <v>145</v>
      </c>
      <c r="F2" s="64">
        <v>45930</v>
      </c>
      <c r="G2" s="65">
        <v>45930</v>
      </c>
      <c r="H2" s="62" t="s">
        <v>11</v>
      </c>
      <c r="I2" s="66" t="s">
        <v>12</v>
      </c>
      <c r="J2" s="67">
        <v>1</v>
      </c>
      <c r="K2" s="68">
        <v>160</v>
      </c>
      <c r="L2" s="60"/>
      <c r="M2" s="60"/>
      <c r="N2" s="60"/>
    </row>
    <row r="3" spans="1:14">
      <c r="A3" s="61">
        <v>20639</v>
      </c>
      <c r="B3" s="62" t="s">
        <v>146</v>
      </c>
      <c r="C3" s="62" t="s">
        <v>10</v>
      </c>
      <c r="D3" s="62">
        <v>28</v>
      </c>
      <c r="E3" s="63" t="s">
        <v>147</v>
      </c>
      <c r="F3" s="64">
        <v>45901</v>
      </c>
      <c r="G3" s="65">
        <v>45905</v>
      </c>
      <c r="H3" s="62" t="s">
        <v>11</v>
      </c>
      <c r="I3" s="115" t="s">
        <v>14</v>
      </c>
      <c r="J3" s="69">
        <v>0.9</v>
      </c>
      <c r="K3" s="70">
        <v>140</v>
      </c>
      <c r="L3" s="60"/>
      <c r="M3" s="60" t="s">
        <v>148</v>
      </c>
      <c r="N3" s="60"/>
    </row>
    <row r="4" spans="1:14">
      <c r="A4" s="61">
        <v>20640</v>
      </c>
      <c r="B4" s="62" t="s">
        <v>149</v>
      </c>
      <c r="C4" s="62" t="s">
        <v>10</v>
      </c>
      <c r="D4" s="62">
        <v>7</v>
      </c>
      <c r="E4" s="63" t="s">
        <v>150</v>
      </c>
      <c r="F4" s="64">
        <v>45903</v>
      </c>
      <c r="G4" s="65">
        <v>45905</v>
      </c>
      <c r="H4" s="62"/>
      <c r="I4" s="115"/>
      <c r="J4" s="69">
        <v>1.1000000000000001</v>
      </c>
      <c r="K4" s="70">
        <v>176</v>
      </c>
      <c r="L4" s="60"/>
      <c r="M4" s="60"/>
      <c r="N4" s="60"/>
    </row>
    <row r="5" spans="1:14">
      <c r="A5" s="61"/>
      <c r="B5" s="62" t="s">
        <v>151</v>
      </c>
      <c r="C5" s="62" t="s">
        <v>10</v>
      </c>
      <c r="D5" s="62">
        <v>2</v>
      </c>
      <c r="E5" s="63" t="s">
        <v>152</v>
      </c>
      <c r="F5" s="64">
        <v>45904</v>
      </c>
      <c r="G5" s="65">
        <v>45904</v>
      </c>
      <c r="H5" s="62"/>
      <c r="I5" s="71"/>
      <c r="J5" s="59"/>
      <c r="K5" s="59"/>
      <c r="L5" s="60"/>
      <c r="M5" s="60"/>
      <c r="N5" s="60"/>
    </row>
    <row r="6" spans="1:14" ht="43.5">
      <c r="A6" s="61">
        <v>20638</v>
      </c>
      <c r="B6" s="62" t="s">
        <v>153</v>
      </c>
      <c r="C6" s="62" t="s">
        <v>10</v>
      </c>
      <c r="D6" s="62">
        <v>0</v>
      </c>
      <c r="E6" s="72" t="s">
        <v>154</v>
      </c>
      <c r="F6" s="64">
        <v>45904</v>
      </c>
      <c r="G6" s="65">
        <v>45904</v>
      </c>
      <c r="H6" s="62" t="s">
        <v>11</v>
      </c>
      <c r="I6" s="71" t="s">
        <v>19</v>
      </c>
      <c r="J6" s="73">
        <f ca="1">K6/K2</f>
        <v>0.9</v>
      </c>
      <c r="K6" s="74">
        <f ca="1">SUMIFS(D:D, C:C, TEXT(TODAY(), "mmmm")) / J2</f>
        <v>144</v>
      </c>
      <c r="L6" s="60"/>
      <c r="M6" s="60"/>
      <c r="N6" s="60"/>
    </row>
    <row r="7" spans="1:14" ht="43.5">
      <c r="A7" s="61">
        <v>20638</v>
      </c>
      <c r="B7" s="62" t="s">
        <v>153</v>
      </c>
      <c r="C7" s="62" t="s">
        <v>10</v>
      </c>
      <c r="D7" s="62">
        <v>106</v>
      </c>
      <c r="E7" s="72" t="s">
        <v>154</v>
      </c>
      <c r="F7" s="64">
        <v>45905</v>
      </c>
      <c r="G7" s="65">
        <v>45927</v>
      </c>
      <c r="H7" s="62" t="s">
        <v>11</v>
      </c>
      <c r="I7" s="71"/>
      <c r="J7" s="59"/>
      <c r="K7" s="59"/>
      <c r="L7" s="60"/>
      <c r="M7" s="60"/>
      <c r="N7" s="60"/>
    </row>
    <row r="8" spans="1:14">
      <c r="A8" s="61">
        <v>20799</v>
      </c>
      <c r="B8" s="62" t="s">
        <v>155</v>
      </c>
      <c r="C8" s="62" t="s">
        <v>24</v>
      </c>
      <c r="D8" s="62">
        <v>12</v>
      </c>
      <c r="E8" s="63" t="s">
        <v>156</v>
      </c>
      <c r="F8" s="64">
        <v>45927</v>
      </c>
      <c r="G8" s="75">
        <v>45927</v>
      </c>
      <c r="H8" s="62" t="s">
        <v>11</v>
      </c>
      <c r="I8" s="113" t="str">
        <f ca="1">"Faltan " &amp; IF(DAY(TODAY())&gt;27, DATE(YEAR(TODAY()), MONTH(TODAY())+1, 27), DATE(YEAR(TODAY()), MONTH(TODAY()), 27)) - TODAY() &amp; " días para el cierre"</f>
        <v>Faltan 29 días para el cierre</v>
      </c>
      <c r="J8" s="114"/>
      <c r="K8" s="114"/>
      <c r="L8" s="60" t="s">
        <v>157</v>
      </c>
      <c r="M8" s="60"/>
      <c r="N8" s="60" t="s">
        <v>158</v>
      </c>
    </row>
    <row r="9" spans="1:14">
      <c r="A9" s="61">
        <v>20800</v>
      </c>
      <c r="B9" s="62" t="s">
        <v>159</v>
      </c>
      <c r="C9" s="62" t="s">
        <v>24</v>
      </c>
      <c r="D9" s="62">
        <v>22</v>
      </c>
      <c r="E9" s="63" t="s">
        <v>160</v>
      </c>
      <c r="F9" s="64">
        <v>45929</v>
      </c>
      <c r="G9" s="65">
        <v>45932</v>
      </c>
      <c r="H9" s="62" t="s">
        <v>11</v>
      </c>
      <c r="I9" s="71" t="s">
        <v>161</v>
      </c>
      <c r="J9" s="59" t="s">
        <v>162</v>
      </c>
      <c r="K9" s="59"/>
      <c r="L9" s="60"/>
      <c r="M9" s="60"/>
      <c r="N9" s="60"/>
    </row>
    <row r="10" spans="1:14">
      <c r="A10" s="61">
        <v>20801</v>
      </c>
      <c r="B10" s="62" t="s">
        <v>163</v>
      </c>
      <c r="C10" s="62" t="s">
        <v>24</v>
      </c>
      <c r="D10" s="62">
        <v>44</v>
      </c>
      <c r="E10" s="63" t="s">
        <v>163</v>
      </c>
      <c r="F10" s="64">
        <v>45932</v>
      </c>
      <c r="G10" s="65">
        <v>45940</v>
      </c>
      <c r="H10" s="62" t="s">
        <v>11</v>
      </c>
      <c r="I10" s="71" t="s">
        <v>158</v>
      </c>
      <c r="J10" s="59" t="s">
        <v>157</v>
      </c>
      <c r="K10" s="59"/>
      <c r="L10" s="60" t="s">
        <v>164</v>
      </c>
      <c r="M10" s="60"/>
      <c r="N10" s="60"/>
    </row>
    <row r="11" spans="1:14">
      <c r="A11" s="61">
        <v>20802</v>
      </c>
      <c r="B11" s="62" t="s">
        <v>165</v>
      </c>
      <c r="C11" s="62" t="s">
        <v>24</v>
      </c>
      <c r="D11" s="62">
        <v>35</v>
      </c>
      <c r="E11" s="63" t="s">
        <v>166</v>
      </c>
      <c r="F11" s="64">
        <v>45943</v>
      </c>
      <c r="G11" s="65">
        <v>45947</v>
      </c>
      <c r="H11" s="62" t="s">
        <v>11</v>
      </c>
      <c r="I11" s="71" t="s">
        <v>161</v>
      </c>
      <c r="J11" s="59" t="s">
        <v>162</v>
      </c>
      <c r="K11" s="59"/>
      <c r="L11" s="60"/>
      <c r="M11" s="60"/>
      <c r="N11" s="60"/>
    </row>
    <row r="12" spans="1:14">
      <c r="A12" s="84"/>
      <c r="B12" s="62" t="s">
        <v>167</v>
      </c>
      <c r="C12" s="62" t="s">
        <v>24</v>
      </c>
      <c r="D12" s="62">
        <v>35</v>
      </c>
      <c r="E12" s="83" t="s">
        <v>168</v>
      </c>
      <c r="F12" s="64">
        <v>45950</v>
      </c>
      <c r="G12" s="65">
        <v>45957</v>
      </c>
      <c r="H12" s="62"/>
      <c r="I12" s="71"/>
      <c r="J12" s="59"/>
      <c r="K12" s="59"/>
      <c r="L12" s="60"/>
      <c r="M12" s="60"/>
      <c r="N12" s="60"/>
    </row>
    <row r="13" spans="1:14">
      <c r="A13" s="61">
        <v>21268</v>
      </c>
      <c r="B13" s="62" t="s">
        <v>169</v>
      </c>
      <c r="C13" s="62" t="s">
        <v>28</v>
      </c>
      <c r="D13" s="62">
        <v>14</v>
      </c>
      <c r="E13" s="63" t="s">
        <v>170</v>
      </c>
      <c r="F13" s="76">
        <v>45958</v>
      </c>
      <c r="G13" s="75">
        <v>45959</v>
      </c>
      <c r="H13" s="62" t="s">
        <v>11</v>
      </c>
      <c r="I13" s="71" t="s">
        <v>161</v>
      </c>
      <c r="J13" s="59"/>
      <c r="K13" s="59"/>
      <c r="L13" s="60"/>
      <c r="M13" s="60"/>
      <c r="N13" s="60"/>
    </row>
    <row r="14" spans="1:14">
      <c r="A14" s="61">
        <v>21273</v>
      </c>
      <c r="B14" s="62" t="s">
        <v>171</v>
      </c>
      <c r="C14" s="62" t="s">
        <v>28</v>
      </c>
      <c r="D14" s="62">
        <v>38</v>
      </c>
      <c r="E14" s="63" t="s">
        <v>172</v>
      </c>
      <c r="F14" s="76">
        <v>45960</v>
      </c>
      <c r="G14" s="75">
        <v>45966</v>
      </c>
      <c r="H14" s="62" t="s">
        <v>11</v>
      </c>
      <c r="I14" s="71"/>
      <c r="J14" s="59"/>
      <c r="K14" s="59"/>
      <c r="L14" s="60"/>
      <c r="M14" s="60"/>
      <c r="N14" s="60"/>
    </row>
    <row r="15" spans="1:14">
      <c r="A15" s="61">
        <v>21268</v>
      </c>
      <c r="B15" s="62" t="s">
        <v>169</v>
      </c>
      <c r="C15" s="62" t="s">
        <v>28</v>
      </c>
      <c r="D15" s="62">
        <v>31</v>
      </c>
      <c r="E15" s="63" t="s">
        <v>173</v>
      </c>
      <c r="F15" s="76">
        <v>45967</v>
      </c>
      <c r="G15" s="75">
        <v>45972</v>
      </c>
      <c r="H15" s="62" t="s">
        <v>11</v>
      </c>
      <c r="I15" s="71"/>
      <c r="J15" s="59"/>
      <c r="K15" s="59"/>
      <c r="L15" s="60"/>
      <c r="M15" s="60"/>
      <c r="N15" s="60"/>
    </row>
    <row r="16" spans="1:14">
      <c r="A16" s="61">
        <v>21275</v>
      </c>
      <c r="B16" s="62" t="s">
        <v>174</v>
      </c>
      <c r="C16" s="62" t="s">
        <v>28</v>
      </c>
      <c r="D16" s="62">
        <v>27</v>
      </c>
      <c r="E16" s="63" t="s">
        <v>175</v>
      </c>
      <c r="F16" s="76">
        <v>45973</v>
      </c>
      <c r="G16" s="75">
        <v>45979</v>
      </c>
      <c r="H16" s="62" t="s">
        <v>11</v>
      </c>
      <c r="I16" s="71"/>
      <c r="J16" s="59"/>
      <c r="K16" s="59"/>
      <c r="L16" s="60"/>
      <c r="M16" s="60"/>
      <c r="N16" s="60"/>
    </row>
    <row r="17" spans="1:14">
      <c r="A17" s="61">
        <v>21271</v>
      </c>
      <c r="B17" s="62" t="s">
        <v>176</v>
      </c>
      <c r="C17" s="62" t="s">
        <v>28</v>
      </c>
      <c r="D17" s="62">
        <v>40</v>
      </c>
      <c r="E17" s="63" t="s">
        <v>177</v>
      </c>
      <c r="F17" s="76">
        <v>45980</v>
      </c>
      <c r="G17" s="75">
        <v>45988</v>
      </c>
      <c r="H17" s="62" t="s">
        <v>11</v>
      </c>
      <c r="I17" s="71"/>
      <c r="J17" s="59"/>
      <c r="K17" s="59"/>
      <c r="L17" s="60"/>
      <c r="M17" s="60"/>
      <c r="N17" s="60"/>
    </row>
    <row r="18" spans="1:14" ht="57.75">
      <c r="A18" s="61">
        <v>21505</v>
      </c>
      <c r="B18" s="62" t="s">
        <v>178</v>
      </c>
      <c r="C18" s="62" t="s">
        <v>54</v>
      </c>
      <c r="D18" s="62">
        <v>75</v>
      </c>
      <c r="E18" s="72" t="s">
        <v>179</v>
      </c>
      <c r="F18" s="76">
        <v>45989</v>
      </c>
      <c r="G18" s="75">
        <v>46003</v>
      </c>
      <c r="H18" s="62" t="s">
        <v>11</v>
      </c>
      <c r="I18" s="71"/>
      <c r="J18" s="59"/>
      <c r="K18" s="59"/>
      <c r="L18" s="60"/>
      <c r="M18" s="60"/>
      <c r="N18" s="60"/>
    </row>
    <row r="19" spans="1:14" ht="29.25">
      <c r="A19" s="5">
        <v>21506</v>
      </c>
      <c r="B19" s="6" t="s">
        <v>180</v>
      </c>
      <c r="C19" s="6" t="s">
        <v>54</v>
      </c>
      <c r="D19" s="6">
        <v>69</v>
      </c>
      <c r="E19" s="103" t="s">
        <v>181</v>
      </c>
      <c r="F19" s="21">
        <v>46006</v>
      </c>
      <c r="G19" s="102">
        <v>46017</v>
      </c>
      <c r="H19" s="6" t="s">
        <v>11</v>
      </c>
    </row>
  </sheetData>
  <mergeCells count="3">
    <mergeCell ref="I1:K1"/>
    <mergeCell ref="I3:I4"/>
    <mergeCell ref="I8:K8"/>
  </mergeCells>
  <conditionalFormatting sqref="J6">
    <cfRule type="cellIs" dxfId="2" priority="3" operator="lessThan">
      <formula>$J$3</formula>
    </cfRule>
  </conditionalFormatting>
  <conditionalFormatting sqref="J6">
    <cfRule type="cellIs" dxfId="1" priority="2" operator="between">
      <formula>$J$3</formula>
      <formula>$J$4</formula>
    </cfRule>
  </conditionalFormatting>
  <conditionalFormatting sqref="J6">
    <cfRule type="cellIs" dxfId="0" priority="1" operator="greaterThan">
      <formula>$J$4</formula>
    </cfRule>
  </conditionalFormatting>
  <dataValidations count="2">
    <dataValidation type="list" allowBlank="1" showInputMessage="1" showErrorMessage="1" sqref="C2:C1048576" xr:uid="{A72B0CFC-C743-4FB7-BFA5-8865F58276F8}">
      <formula1>"Enero,Febrero,Marzo,Abril,Mayo,Junio,Julio,Agosto,Septiembre,Octubre,Noviembre,Diciembre"</formula1>
    </dataValidation>
    <dataValidation type="list" allowBlank="1" showInputMessage="1" showErrorMessage="1" sqref="H2:H1048576" xr:uid="{395EF49F-1C93-431C-91C3-A896C3264872}">
      <formula1>"Accepted Order,Order in porduction,Shipped,Cancel"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1DE28AD38BA764FB70D55E793543084" ma:contentTypeVersion="16" ma:contentTypeDescription="Crear nuevo documento." ma:contentTypeScope="" ma:versionID="4a6a7448af0ac9adfa4568be021c4b8a">
  <xsd:schema xmlns:xsd="http://www.w3.org/2001/XMLSchema" xmlns:xs="http://www.w3.org/2001/XMLSchema" xmlns:p="http://schemas.microsoft.com/office/2006/metadata/properties" xmlns:ns2="e11fa865-9496-4874-b812-987dd7b23e03" xmlns:ns3="6aebfa4f-1cfb-41f3-bbe9-1da6921ed8bb" targetNamespace="http://schemas.microsoft.com/office/2006/metadata/properties" ma:root="true" ma:fieldsID="de9f4422511cd8b6694a317cd3ad3a01" ns2:_="" ns3:_="">
    <xsd:import namespace="e11fa865-9496-4874-b812-987dd7b23e03"/>
    <xsd:import namespace="6aebfa4f-1cfb-41f3-bbe9-1da6921ed8b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1fa865-9496-4874-b812-987dd7b23e0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75d32505-2c03-4635-90ce-31e2d0d7b9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ebfa4f-1cfb-41f3-bbe9-1da6921ed8bb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c840d6e5-17c4-4abd-b33a-66d8c159449e}" ma:internalName="TaxCatchAll" ma:showField="CatchAllData" ma:web="6aebfa4f-1cfb-41f3-bbe9-1da6921ed8b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11fa865-9496-4874-b812-987dd7b23e03">
      <Terms xmlns="http://schemas.microsoft.com/office/infopath/2007/PartnerControls"/>
    </lcf76f155ced4ddcb4097134ff3c332f>
    <TaxCatchAll xmlns="6aebfa4f-1cfb-41f3-bbe9-1da6921ed8bb" xsi:nil="true"/>
  </documentManagement>
</p:properties>
</file>

<file path=customXml/itemProps1.xml><?xml version="1.0" encoding="utf-8"?>
<ds:datastoreItem xmlns:ds="http://schemas.openxmlformats.org/officeDocument/2006/customXml" ds:itemID="{336B64FF-EE1E-4976-BB76-AD658D788F27}"/>
</file>

<file path=customXml/itemProps2.xml><?xml version="1.0" encoding="utf-8"?>
<ds:datastoreItem xmlns:ds="http://schemas.openxmlformats.org/officeDocument/2006/customXml" ds:itemID="{93BB96FE-54BB-4F39-80B8-426138B05DD6}"/>
</file>

<file path=customXml/itemProps3.xml><?xml version="1.0" encoding="utf-8"?>
<ds:datastoreItem xmlns:ds="http://schemas.openxmlformats.org/officeDocument/2006/customXml" ds:itemID="{D8E201E0-EBC0-4D1E-99B5-AA9C068B884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2025-09-01T16:26:39Z</dcterms:created>
  <dcterms:modified xsi:type="dcterms:W3CDTF">2025-12-29T16:50:20Z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0x010100E1DE28AD38BA764FB70D55E793543084</vt:lpwstr>
  </property>
  <property fmtid="{D5CDD505-2E9C-101B-9397-08002B2CF9AE}" pid="3" name="MediaServiceImageTags">
    <vt:lpwstr/>
  </property>
</Properties>
</file>